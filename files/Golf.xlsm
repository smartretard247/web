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Programming\MyServer\Server2Go\htdocs\files\"/>
    </mc:Choice>
  </mc:AlternateContent>
  <xr:revisionPtr revIDLastSave="0" documentId="10_ncr:8100000_{66E09806-4A36-48EA-B3C0-6767CF3D927E}" xr6:coauthVersionLast="34" xr6:coauthVersionMax="34" xr10:uidLastSave="{00000000-0000-0000-0000-000000000000}"/>
  <bookViews>
    <workbookView xWindow="0" yWindow="45" windowWidth="19155" windowHeight="11025" firstSheet="2" activeTab="9" xr2:uid="{00000000-000D-0000-FFFF-FFFF00000000}"/>
  </bookViews>
  <sheets>
    <sheet name="Labels" sheetId="1" r:id="rId1"/>
    <sheet name="Blank" sheetId="10" r:id="rId2"/>
    <sheet name="2011 (Whites)" sheetId="5" r:id="rId3"/>
    <sheet name="2012 (Whites)" sheetId="8" r:id="rId4"/>
    <sheet name="2013 (Whites)" sheetId="9" r:id="rId5"/>
    <sheet name="2015 (Blues)" sheetId="12" r:id="rId6"/>
    <sheet name="2016 (Pro)" sheetId="13" r:id="rId7"/>
    <sheet name="2017 (Pro)" sheetId="14" r:id="rId8"/>
    <sheet name="2018 (Am)" sheetId="16" r:id="rId9"/>
    <sheet name="2018 (Pro)" sheetId="15" r:id="rId10"/>
  </sheets>
  <functionGroups builtInGroupCount="19"/>
  <definedNames>
    <definedName name="_xlnm.Print_Area" localSheetId="2">'2011 (Whites)'!$A$1:$X$60</definedName>
    <definedName name="_xlnm.Print_Area" localSheetId="3">'2012 (Whites)'!$A$1:$X$60</definedName>
    <definedName name="_xlnm.Print_Area" localSheetId="4">'2013 (Whites)'!$A$1:$X$60</definedName>
    <definedName name="_xlnm.Print_Area" localSheetId="5">'2015 (Blues)'!$A$1:$X$60</definedName>
    <definedName name="_xlnm.Print_Area" localSheetId="6">'2016 (Pro)'!$A$1:$X$60</definedName>
    <definedName name="_xlnm.Print_Area" localSheetId="7">'2017 (Pro)'!$A$1:$X$60</definedName>
    <definedName name="_xlnm.Print_Area" localSheetId="8">'2018 (Am)'!$A$1:$X$60</definedName>
    <definedName name="_xlnm.Print_Area" localSheetId="9">'2018 (Pro)'!$A$1:$X$60</definedName>
    <definedName name="_xlnm.Print_Area" localSheetId="1">Blank!$A$1:$X$60</definedName>
    <definedName name="_xlnm.Print_Area" localSheetId="0">Labels!$A$1:$L$60</definedName>
  </definedNames>
  <calcPr calcId="162913"/>
</workbook>
</file>

<file path=xl/calcChain.xml><?xml version="1.0" encoding="utf-8"?>
<calcChain xmlns="http://schemas.openxmlformats.org/spreadsheetml/2006/main">
  <c r="AD60" i="16" l="1"/>
  <c r="V60" i="16"/>
  <c r="L60" i="16"/>
  <c r="W60" i="16" s="1"/>
  <c r="X60" i="16" s="1"/>
  <c r="AD59" i="16"/>
  <c r="V59" i="16"/>
  <c r="L59" i="16"/>
  <c r="W59" i="16" s="1"/>
  <c r="X59" i="16" s="1"/>
  <c r="AD58" i="16"/>
  <c r="X58" i="16"/>
  <c r="W58" i="16"/>
  <c r="V58" i="16"/>
  <c r="L58" i="16"/>
  <c r="AD57" i="16"/>
  <c r="W57" i="16"/>
  <c r="X57" i="16" s="1"/>
  <c r="V57" i="16"/>
  <c r="L57" i="16"/>
  <c r="AD56" i="16"/>
  <c r="W56" i="16"/>
  <c r="X56" i="16" s="1"/>
  <c r="V56" i="16"/>
  <c r="L56" i="16"/>
  <c r="AD55" i="16"/>
  <c r="V55" i="16"/>
  <c r="L55" i="16"/>
  <c r="W55" i="16" s="1"/>
  <c r="X55" i="16" s="1"/>
  <c r="AD54" i="16"/>
  <c r="V54" i="16"/>
  <c r="L54" i="16"/>
  <c r="W54" i="16" s="1"/>
  <c r="X54" i="16" s="1"/>
  <c r="AD53" i="16"/>
  <c r="X53" i="16"/>
  <c r="W53" i="16"/>
  <c r="V53" i="16"/>
  <c r="L53" i="16"/>
  <c r="AD52" i="16"/>
  <c r="W52" i="16"/>
  <c r="X52" i="16" s="1"/>
  <c r="V52" i="16"/>
  <c r="L52" i="16"/>
  <c r="AD51" i="16"/>
  <c r="W51" i="16"/>
  <c r="X51" i="16" s="1"/>
  <c r="V51" i="16"/>
  <c r="L51" i="16"/>
  <c r="AD50" i="16"/>
  <c r="V50" i="16"/>
  <c r="L50" i="16"/>
  <c r="W50" i="16" s="1"/>
  <c r="X50" i="16" s="1"/>
  <c r="AD49" i="16"/>
  <c r="V49" i="16"/>
  <c r="L49" i="16"/>
  <c r="W49" i="16" s="1"/>
  <c r="X49" i="16" s="1"/>
  <c r="AD48" i="16"/>
  <c r="V48" i="16"/>
  <c r="L48" i="16"/>
  <c r="W48" i="16" s="1"/>
  <c r="X48" i="16" s="1"/>
  <c r="AD47" i="16"/>
  <c r="V47" i="16"/>
  <c r="L47" i="16"/>
  <c r="W47" i="16" s="1"/>
  <c r="X47" i="16" s="1"/>
  <c r="AD46" i="16"/>
  <c r="X46" i="16"/>
  <c r="W46" i="16"/>
  <c r="V46" i="16"/>
  <c r="L46" i="16"/>
  <c r="AD45" i="16"/>
  <c r="W45" i="16"/>
  <c r="X45" i="16" s="1"/>
  <c r="V45" i="16"/>
  <c r="L45" i="16"/>
  <c r="AD44" i="16"/>
  <c r="W44" i="16"/>
  <c r="X44" i="16" s="1"/>
  <c r="V44" i="16"/>
  <c r="L44" i="16"/>
  <c r="AD43" i="16"/>
  <c r="V43" i="16"/>
  <c r="L43" i="16"/>
  <c r="W43" i="16" s="1"/>
  <c r="X43" i="16" s="1"/>
  <c r="AD42" i="16"/>
  <c r="V42" i="16"/>
  <c r="L42" i="16"/>
  <c r="W42" i="16" s="1"/>
  <c r="X42" i="16" s="1"/>
  <c r="AD41" i="16"/>
  <c r="V41" i="16"/>
  <c r="L41" i="16"/>
  <c r="W41" i="16" s="1"/>
  <c r="X41" i="16" s="1"/>
  <c r="AD40" i="16"/>
  <c r="W40" i="16"/>
  <c r="X40" i="16" s="1"/>
  <c r="V40" i="16"/>
  <c r="L40" i="16"/>
  <c r="AD39" i="16"/>
  <c r="W39" i="16"/>
  <c r="X39" i="16" s="1"/>
  <c r="V39" i="16"/>
  <c r="L39" i="16"/>
  <c r="AD38" i="16"/>
  <c r="V38" i="16"/>
  <c r="L38" i="16"/>
  <c r="W38" i="16" s="1"/>
  <c r="X38" i="16" s="1"/>
  <c r="AD37" i="16"/>
  <c r="V37" i="16"/>
  <c r="L37" i="16"/>
  <c r="W37" i="16" s="1"/>
  <c r="X37" i="16" s="1"/>
  <c r="AD36" i="16"/>
  <c r="V36" i="16"/>
  <c r="L36" i="16"/>
  <c r="W36" i="16" s="1"/>
  <c r="X36" i="16" s="1"/>
  <c r="AD35" i="16"/>
  <c r="V35" i="16"/>
  <c r="L35" i="16"/>
  <c r="W35" i="16" s="1"/>
  <c r="X35" i="16" s="1"/>
  <c r="AD34" i="16"/>
  <c r="X34" i="16"/>
  <c r="W34" i="16"/>
  <c r="V34" i="16"/>
  <c r="L34" i="16"/>
  <c r="AD33" i="16"/>
  <c r="W33" i="16"/>
  <c r="X33" i="16" s="1"/>
  <c r="V33" i="16"/>
  <c r="L33" i="16"/>
  <c r="AD32" i="16"/>
  <c r="W32" i="16"/>
  <c r="X32" i="16" s="1"/>
  <c r="V32" i="16"/>
  <c r="L32" i="16"/>
  <c r="AD31" i="16"/>
  <c r="V31" i="16"/>
  <c r="L31" i="16"/>
  <c r="W31" i="16" s="1"/>
  <c r="X31" i="16" s="1"/>
  <c r="AD30" i="16"/>
  <c r="V30" i="16"/>
  <c r="L30" i="16"/>
  <c r="W30" i="16" s="1"/>
  <c r="X30" i="16" s="1"/>
  <c r="AD29" i="16"/>
  <c r="V29" i="16"/>
  <c r="L29" i="16"/>
  <c r="W29" i="16" s="1"/>
  <c r="X29" i="16" s="1"/>
  <c r="AD28" i="16"/>
  <c r="W28" i="16"/>
  <c r="X28" i="16" s="1"/>
  <c r="V28" i="16"/>
  <c r="L28" i="16"/>
  <c r="AD27" i="16"/>
  <c r="W27" i="16"/>
  <c r="X27" i="16" s="1"/>
  <c r="V27" i="16"/>
  <c r="L27" i="16"/>
  <c r="AD26" i="16"/>
  <c r="V26" i="16"/>
  <c r="L26" i="16"/>
  <c r="W26" i="16" s="1"/>
  <c r="X26" i="16" s="1"/>
  <c r="AD25" i="16"/>
  <c r="V25" i="16"/>
  <c r="L25" i="16"/>
  <c r="W25" i="16" s="1"/>
  <c r="X25" i="16" s="1"/>
  <c r="AD24" i="16"/>
  <c r="V24" i="16"/>
  <c r="L24" i="16"/>
  <c r="W24" i="16" s="1"/>
  <c r="X24" i="16" s="1"/>
  <c r="AD23" i="16"/>
  <c r="V23" i="16"/>
  <c r="L23" i="16"/>
  <c r="W23" i="16" s="1"/>
  <c r="X23" i="16" s="1"/>
  <c r="AD22" i="16"/>
  <c r="X22" i="16"/>
  <c r="W22" i="16"/>
  <c r="V22" i="16"/>
  <c r="L22" i="16"/>
  <c r="AD21" i="16"/>
  <c r="W21" i="16"/>
  <c r="X21" i="16" s="1"/>
  <c r="V21" i="16"/>
  <c r="L21" i="16"/>
  <c r="AD20" i="16"/>
  <c r="W20" i="16"/>
  <c r="X20" i="16" s="1"/>
  <c r="V20" i="16"/>
  <c r="L20" i="16"/>
  <c r="AD19" i="16"/>
  <c r="V19" i="16"/>
  <c r="L19" i="16"/>
  <c r="W19" i="16" s="1"/>
  <c r="X19" i="16" s="1"/>
  <c r="AD18" i="16"/>
  <c r="V18" i="16"/>
  <c r="L18" i="16"/>
  <c r="W18" i="16" s="1"/>
  <c r="X18" i="16" s="1"/>
  <c r="AD17" i="16"/>
  <c r="X17" i="16"/>
  <c r="W17" i="16"/>
  <c r="V17" i="16"/>
  <c r="L17" i="16"/>
  <c r="AD16" i="16"/>
  <c r="W16" i="16"/>
  <c r="X16" i="16" s="1"/>
  <c r="V16" i="16"/>
  <c r="L16" i="16"/>
  <c r="AD15" i="16"/>
  <c r="W15" i="16"/>
  <c r="X15" i="16" s="1"/>
  <c r="V15" i="16"/>
  <c r="L15" i="16"/>
  <c r="AD14" i="16"/>
  <c r="V14" i="16"/>
  <c r="L14" i="16"/>
  <c r="W14" i="16" s="1"/>
  <c r="X14" i="16" s="1"/>
  <c r="AD13" i="16"/>
  <c r="V13" i="16"/>
  <c r="L13" i="16"/>
  <c r="D6" i="16" s="1"/>
  <c r="M6" i="16" s="1"/>
  <c r="AD12" i="16"/>
  <c r="V12" i="16"/>
  <c r="L12" i="16"/>
  <c r="W12" i="16" s="1"/>
  <c r="X12" i="16" s="1"/>
  <c r="AD11" i="16"/>
  <c r="V11" i="16"/>
  <c r="L11" i="16"/>
  <c r="D4" i="16" s="1"/>
  <c r="M4" i="16" s="1"/>
  <c r="AD10" i="16"/>
  <c r="AD9" i="16"/>
  <c r="AD8" i="16"/>
  <c r="AD7" i="16"/>
  <c r="M7" i="16"/>
  <c r="D7" i="16"/>
  <c r="AD6" i="16"/>
  <c r="AD5" i="16"/>
  <c r="AD4" i="16"/>
  <c r="AD3" i="16"/>
  <c r="AD2" i="16"/>
  <c r="AD60" i="15"/>
  <c r="V60" i="15"/>
  <c r="L60" i="15"/>
  <c r="W60" i="15" s="1"/>
  <c r="X60" i="15" s="1"/>
  <c r="AD59" i="15"/>
  <c r="V59" i="15"/>
  <c r="L59" i="15"/>
  <c r="W59" i="15" s="1"/>
  <c r="X59" i="15" s="1"/>
  <c r="AD58" i="15"/>
  <c r="V58" i="15"/>
  <c r="L58" i="15"/>
  <c r="W58" i="15" s="1"/>
  <c r="X58" i="15" s="1"/>
  <c r="AD57" i="15"/>
  <c r="V57" i="15"/>
  <c r="L57" i="15"/>
  <c r="W57" i="15" s="1"/>
  <c r="X57" i="15" s="1"/>
  <c r="AD56" i="15"/>
  <c r="W56" i="15"/>
  <c r="X56" i="15" s="1"/>
  <c r="V56" i="15"/>
  <c r="L56" i="15"/>
  <c r="AD55" i="15"/>
  <c r="V55" i="15"/>
  <c r="L55" i="15"/>
  <c r="W55" i="15" s="1"/>
  <c r="X55" i="15" s="1"/>
  <c r="AD54" i="15"/>
  <c r="V54" i="15"/>
  <c r="L54" i="15"/>
  <c r="W54" i="15" s="1"/>
  <c r="X54" i="15" s="1"/>
  <c r="AD53" i="15"/>
  <c r="V53" i="15"/>
  <c r="L53" i="15"/>
  <c r="W53" i="15" s="1"/>
  <c r="X53" i="15" s="1"/>
  <c r="AD52" i="15"/>
  <c r="W52" i="15"/>
  <c r="X52" i="15" s="1"/>
  <c r="V52" i="15"/>
  <c r="L52" i="15"/>
  <c r="AD51" i="15"/>
  <c r="X51" i="15"/>
  <c r="W51" i="15"/>
  <c r="V51" i="15"/>
  <c r="L51" i="15"/>
  <c r="AD50" i="15"/>
  <c r="V50" i="15"/>
  <c r="L50" i="15"/>
  <c r="W50" i="15" s="1"/>
  <c r="X50" i="15" s="1"/>
  <c r="AD49" i="15"/>
  <c r="W49" i="15"/>
  <c r="X49" i="15" s="1"/>
  <c r="V49" i="15"/>
  <c r="L49" i="15"/>
  <c r="AD48" i="15"/>
  <c r="W48" i="15"/>
  <c r="X48" i="15" s="1"/>
  <c r="V48" i="15"/>
  <c r="L48" i="15"/>
  <c r="AD47" i="15"/>
  <c r="W47" i="15"/>
  <c r="X47" i="15" s="1"/>
  <c r="V47" i="15"/>
  <c r="L47" i="15"/>
  <c r="AD46" i="15"/>
  <c r="V46" i="15"/>
  <c r="L46" i="15"/>
  <c r="W46" i="15" s="1"/>
  <c r="X46" i="15" s="1"/>
  <c r="AD45" i="15"/>
  <c r="V45" i="15"/>
  <c r="L45" i="15"/>
  <c r="W45" i="15" s="1"/>
  <c r="X45" i="15" s="1"/>
  <c r="AD44" i="15"/>
  <c r="W44" i="15"/>
  <c r="X44" i="15" s="1"/>
  <c r="V44" i="15"/>
  <c r="L44" i="15"/>
  <c r="AD43" i="15"/>
  <c r="V43" i="15"/>
  <c r="L43" i="15"/>
  <c r="W43" i="15" s="1"/>
  <c r="X43" i="15" s="1"/>
  <c r="AD42" i="15"/>
  <c r="V42" i="15"/>
  <c r="L42" i="15"/>
  <c r="W42" i="15" s="1"/>
  <c r="X42" i="15" s="1"/>
  <c r="AD41" i="15"/>
  <c r="V41" i="15"/>
  <c r="L41" i="15"/>
  <c r="W41" i="15" s="1"/>
  <c r="X41" i="15" s="1"/>
  <c r="AD40" i="15"/>
  <c r="W40" i="15"/>
  <c r="X40" i="15" s="1"/>
  <c r="V40" i="15"/>
  <c r="L40" i="15"/>
  <c r="AD39" i="15"/>
  <c r="X39" i="15"/>
  <c r="W39" i="15"/>
  <c r="V39" i="15"/>
  <c r="L39" i="15"/>
  <c r="AD38" i="15"/>
  <c r="V38" i="15"/>
  <c r="L38" i="15"/>
  <c r="W38" i="15" s="1"/>
  <c r="X38" i="15" s="1"/>
  <c r="AD37" i="15"/>
  <c r="W37" i="15"/>
  <c r="X37" i="15" s="1"/>
  <c r="V37" i="15"/>
  <c r="L37" i="15"/>
  <c r="AD36" i="15"/>
  <c r="W36" i="15"/>
  <c r="X36" i="15" s="1"/>
  <c r="V36" i="15"/>
  <c r="L36" i="15"/>
  <c r="AD35" i="15"/>
  <c r="W35" i="15"/>
  <c r="X35" i="15" s="1"/>
  <c r="V35" i="15"/>
  <c r="L35" i="15"/>
  <c r="AD34" i="15"/>
  <c r="V34" i="15"/>
  <c r="L34" i="15"/>
  <c r="W34" i="15" s="1"/>
  <c r="X34" i="15" s="1"/>
  <c r="AD33" i="15"/>
  <c r="V33" i="15"/>
  <c r="L33" i="15"/>
  <c r="W33" i="15" s="1"/>
  <c r="X33" i="15" s="1"/>
  <c r="AD32" i="15"/>
  <c r="W32" i="15"/>
  <c r="X32" i="15" s="1"/>
  <c r="V32" i="15"/>
  <c r="L32" i="15"/>
  <c r="AD31" i="15"/>
  <c r="V31" i="15"/>
  <c r="L31" i="15"/>
  <c r="W31" i="15" s="1"/>
  <c r="X31" i="15" s="1"/>
  <c r="AD30" i="15"/>
  <c r="V30" i="15"/>
  <c r="L30" i="15"/>
  <c r="W30" i="15" s="1"/>
  <c r="X30" i="15" s="1"/>
  <c r="AD29" i="15"/>
  <c r="V29" i="15"/>
  <c r="L29" i="15"/>
  <c r="W29" i="15" s="1"/>
  <c r="X29" i="15" s="1"/>
  <c r="AD28" i="15"/>
  <c r="W28" i="15"/>
  <c r="X28" i="15" s="1"/>
  <c r="V28" i="15"/>
  <c r="L28" i="15"/>
  <c r="AD27" i="15"/>
  <c r="X27" i="15"/>
  <c r="W27" i="15"/>
  <c r="V27" i="15"/>
  <c r="L27" i="15"/>
  <c r="AD26" i="15"/>
  <c r="V26" i="15"/>
  <c r="L26" i="15"/>
  <c r="W26" i="15" s="1"/>
  <c r="X26" i="15" s="1"/>
  <c r="AD25" i="15"/>
  <c r="W25" i="15"/>
  <c r="X25" i="15" s="1"/>
  <c r="V25" i="15"/>
  <c r="L25" i="15"/>
  <c r="AD24" i="15"/>
  <c r="W24" i="15"/>
  <c r="X24" i="15" s="1"/>
  <c r="V24" i="15"/>
  <c r="L24" i="15"/>
  <c r="AD23" i="15"/>
  <c r="W23" i="15"/>
  <c r="X23" i="15" s="1"/>
  <c r="V23" i="15"/>
  <c r="L23" i="15"/>
  <c r="AD22" i="15"/>
  <c r="V22" i="15"/>
  <c r="L22" i="15"/>
  <c r="W22" i="15" s="1"/>
  <c r="X22" i="15" s="1"/>
  <c r="AD21" i="15"/>
  <c r="V21" i="15"/>
  <c r="L21" i="15"/>
  <c r="W21" i="15" s="1"/>
  <c r="X21" i="15" s="1"/>
  <c r="AD20" i="15"/>
  <c r="W20" i="15"/>
  <c r="X20" i="15" s="1"/>
  <c r="V20" i="15"/>
  <c r="L20" i="15"/>
  <c r="AD19" i="15"/>
  <c r="V19" i="15"/>
  <c r="L19" i="15"/>
  <c r="W19" i="15" s="1"/>
  <c r="X19" i="15" s="1"/>
  <c r="AD18" i="15"/>
  <c r="V18" i="15"/>
  <c r="L18" i="15"/>
  <c r="W18" i="15" s="1"/>
  <c r="X18" i="15" s="1"/>
  <c r="AD17" i="15"/>
  <c r="V17" i="15"/>
  <c r="L17" i="15"/>
  <c r="W17" i="15" s="1"/>
  <c r="X17" i="15" s="1"/>
  <c r="AD16" i="15"/>
  <c r="W16" i="15"/>
  <c r="X16" i="15" s="1"/>
  <c r="V16" i="15"/>
  <c r="L16" i="15"/>
  <c r="AD15" i="15"/>
  <c r="X15" i="15"/>
  <c r="W15" i="15"/>
  <c r="V15" i="15"/>
  <c r="L15" i="15"/>
  <c r="AD14" i="15"/>
  <c r="V14" i="15"/>
  <c r="L14" i="15"/>
  <c r="W14" i="15" s="1"/>
  <c r="AD13" i="15"/>
  <c r="W13" i="15"/>
  <c r="X13" i="15" s="1"/>
  <c r="V13" i="15"/>
  <c r="L13" i="15"/>
  <c r="AD12" i="15"/>
  <c r="W12" i="15"/>
  <c r="X12" i="15" s="1"/>
  <c r="V12" i="15"/>
  <c r="L12" i="15"/>
  <c r="AD11" i="15"/>
  <c r="V11" i="15"/>
  <c r="L11" i="15"/>
  <c r="W11" i="15" s="1"/>
  <c r="X11" i="15" s="1"/>
  <c r="AD10" i="15"/>
  <c r="AD9" i="15"/>
  <c r="AD8" i="15"/>
  <c r="AD7" i="15"/>
  <c r="M7" i="15"/>
  <c r="D7" i="15"/>
  <c r="AD6" i="15"/>
  <c r="AD5" i="15"/>
  <c r="AD4" i="15"/>
  <c r="AD3" i="15"/>
  <c r="AD2" i="15"/>
  <c r="D3" i="15" l="1"/>
  <c r="M3" i="15" s="1"/>
  <c r="D5" i="15"/>
  <c r="M5" i="15" s="1"/>
  <c r="D6" i="15"/>
  <c r="M6" i="15" s="1"/>
  <c r="D4" i="15"/>
  <c r="M4" i="15" s="1"/>
  <c r="D5" i="16"/>
  <c r="M5" i="16" s="1"/>
  <c r="W13" i="16"/>
  <c r="X13" i="16" s="1"/>
  <c r="W11" i="16"/>
  <c r="D3" i="16"/>
  <c r="M3" i="16" s="1"/>
  <c r="D2" i="15"/>
  <c r="M1" i="15"/>
  <c r="X14" i="15"/>
  <c r="D1" i="15"/>
  <c r="AD8" i="14"/>
  <c r="AD60" i="14"/>
  <c r="V60" i="14"/>
  <c r="L60" i="14"/>
  <c r="W60" i="14" s="1"/>
  <c r="X60" i="14" s="1"/>
  <c r="AD59" i="14"/>
  <c r="W59" i="14"/>
  <c r="X59" i="14" s="1"/>
  <c r="V59" i="14"/>
  <c r="L59" i="14"/>
  <c r="AD58" i="14"/>
  <c r="W58" i="14"/>
  <c r="X58" i="14" s="1"/>
  <c r="V58" i="14"/>
  <c r="L58" i="14"/>
  <c r="AD57" i="14"/>
  <c r="V57" i="14"/>
  <c r="L57" i="14"/>
  <c r="W57" i="14" s="1"/>
  <c r="X57" i="14" s="1"/>
  <c r="AD56" i="14"/>
  <c r="V56" i="14"/>
  <c r="L56" i="14"/>
  <c r="W56" i="14" s="1"/>
  <c r="X56" i="14" s="1"/>
  <c r="AD55" i="14"/>
  <c r="W55" i="14"/>
  <c r="X55" i="14" s="1"/>
  <c r="V55" i="14"/>
  <c r="L55" i="14"/>
  <c r="AD54" i="14"/>
  <c r="W54" i="14"/>
  <c r="X54" i="14" s="1"/>
  <c r="V54" i="14"/>
  <c r="L54" i="14"/>
  <c r="AD53" i="14"/>
  <c r="V53" i="14"/>
  <c r="L53" i="14"/>
  <c r="W53" i="14" s="1"/>
  <c r="X53" i="14" s="1"/>
  <c r="AD52" i="14"/>
  <c r="V52" i="14"/>
  <c r="L52" i="14"/>
  <c r="W52" i="14" s="1"/>
  <c r="X52" i="14" s="1"/>
  <c r="AD51" i="14"/>
  <c r="W51" i="14"/>
  <c r="X51" i="14" s="1"/>
  <c r="V51" i="14"/>
  <c r="L51" i="14"/>
  <c r="AD50" i="14"/>
  <c r="X50" i="14"/>
  <c r="W50" i="14"/>
  <c r="V50" i="14"/>
  <c r="L50" i="14"/>
  <c r="AD49" i="14"/>
  <c r="V49" i="14"/>
  <c r="L49" i="14"/>
  <c r="W49" i="14" s="1"/>
  <c r="X49" i="14" s="1"/>
  <c r="AD48" i="14"/>
  <c r="V48" i="14"/>
  <c r="L48" i="14"/>
  <c r="W48" i="14" s="1"/>
  <c r="X48" i="14" s="1"/>
  <c r="AD47" i="14"/>
  <c r="W47" i="14"/>
  <c r="X47" i="14" s="1"/>
  <c r="V47" i="14"/>
  <c r="L47" i="14"/>
  <c r="AD46" i="14"/>
  <c r="W46" i="14"/>
  <c r="X46" i="14" s="1"/>
  <c r="V46" i="14"/>
  <c r="L46" i="14"/>
  <c r="AD45" i="14"/>
  <c r="V45" i="14"/>
  <c r="L45" i="14"/>
  <c r="W45" i="14" s="1"/>
  <c r="X45" i="14" s="1"/>
  <c r="AD44" i="14"/>
  <c r="V44" i="14"/>
  <c r="L44" i="14"/>
  <c r="W44" i="14" s="1"/>
  <c r="X44" i="14" s="1"/>
  <c r="AD43" i="14"/>
  <c r="W43" i="14"/>
  <c r="X43" i="14" s="1"/>
  <c r="V43" i="14"/>
  <c r="L43" i="14"/>
  <c r="AD42" i="14"/>
  <c r="W42" i="14"/>
  <c r="X42" i="14" s="1"/>
  <c r="V42" i="14"/>
  <c r="L42" i="14"/>
  <c r="AD41" i="14"/>
  <c r="V41" i="14"/>
  <c r="L41" i="14"/>
  <c r="W41" i="14" s="1"/>
  <c r="X41" i="14" s="1"/>
  <c r="AD40" i="14"/>
  <c r="V40" i="14"/>
  <c r="L40" i="14"/>
  <c r="W40" i="14" s="1"/>
  <c r="X40" i="14" s="1"/>
  <c r="AD39" i="14"/>
  <c r="W39" i="14"/>
  <c r="X39" i="14" s="1"/>
  <c r="V39" i="14"/>
  <c r="L39" i="14"/>
  <c r="AD38" i="14"/>
  <c r="W38" i="14"/>
  <c r="X38" i="14" s="1"/>
  <c r="V38" i="14"/>
  <c r="L38" i="14"/>
  <c r="AD37" i="14"/>
  <c r="V37" i="14"/>
  <c r="L37" i="14"/>
  <c r="W37" i="14" s="1"/>
  <c r="X37" i="14" s="1"/>
  <c r="AD36" i="14"/>
  <c r="V36" i="14"/>
  <c r="L36" i="14"/>
  <c r="W36" i="14" s="1"/>
  <c r="X36" i="14" s="1"/>
  <c r="AD35" i="14"/>
  <c r="W35" i="14"/>
  <c r="X35" i="14" s="1"/>
  <c r="V35" i="14"/>
  <c r="L35" i="14"/>
  <c r="AD34" i="14"/>
  <c r="X34" i="14"/>
  <c r="W34" i="14"/>
  <c r="V34" i="14"/>
  <c r="L34" i="14"/>
  <c r="AD33" i="14"/>
  <c r="V33" i="14"/>
  <c r="L33" i="14"/>
  <c r="W33" i="14" s="1"/>
  <c r="X33" i="14" s="1"/>
  <c r="AD32" i="14"/>
  <c r="V32" i="14"/>
  <c r="L32" i="14"/>
  <c r="W32" i="14" s="1"/>
  <c r="X32" i="14" s="1"/>
  <c r="AD31" i="14"/>
  <c r="W31" i="14"/>
  <c r="X31" i="14" s="1"/>
  <c r="V31" i="14"/>
  <c r="L31" i="14"/>
  <c r="AD30" i="14"/>
  <c r="W30" i="14"/>
  <c r="X30" i="14" s="1"/>
  <c r="V30" i="14"/>
  <c r="L30" i="14"/>
  <c r="AD29" i="14"/>
  <c r="V29" i="14"/>
  <c r="L29" i="14"/>
  <c r="W29" i="14" s="1"/>
  <c r="X29" i="14" s="1"/>
  <c r="AD28" i="14"/>
  <c r="V28" i="14"/>
  <c r="L28" i="14"/>
  <c r="W28" i="14" s="1"/>
  <c r="X28" i="14" s="1"/>
  <c r="AD27" i="14"/>
  <c r="W27" i="14"/>
  <c r="X27" i="14" s="1"/>
  <c r="V27" i="14"/>
  <c r="L27" i="14"/>
  <c r="AD26" i="14"/>
  <c r="W26" i="14"/>
  <c r="X26" i="14" s="1"/>
  <c r="V26" i="14"/>
  <c r="L26" i="14"/>
  <c r="AD25" i="14"/>
  <c r="V25" i="14"/>
  <c r="L25" i="14"/>
  <c r="W25" i="14" s="1"/>
  <c r="X25" i="14" s="1"/>
  <c r="AD24" i="14"/>
  <c r="V24" i="14"/>
  <c r="L24" i="14"/>
  <c r="W24" i="14" s="1"/>
  <c r="X24" i="14" s="1"/>
  <c r="AD23" i="14"/>
  <c r="W23" i="14"/>
  <c r="X23" i="14" s="1"/>
  <c r="V23" i="14"/>
  <c r="L23" i="14"/>
  <c r="AD22" i="14"/>
  <c r="W22" i="14"/>
  <c r="X22" i="14" s="1"/>
  <c r="V22" i="14"/>
  <c r="L22" i="14"/>
  <c r="AD21" i="14"/>
  <c r="V21" i="14"/>
  <c r="L21" i="14"/>
  <c r="W21" i="14" s="1"/>
  <c r="X21" i="14" s="1"/>
  <c r="AD20" i="14"/>
  <c r="V20" i="14"/>
  <c r="L20" i="14"/>
  <c r="W20" i="14" s="1"/>
  <c r="X20" i="14" s="1"/>
  <c r="AD19" i="14"/>
  <c r="W19" i="14"/>
  <c r="X19" i="14" s="1"/>
  <c r="V19" i="14"/>
  <c r="L19" i="14"/>
  <c r="AD18" i="14"/>
  <c r="X18" i="14"/>
  <c r="W18" i="14"/>
  <c r="V18" i="14"/>
  <c r="L18" i="14"/>
  <c r="AD17" i="14"/>
  <c r="V17" i="14"/>
  <c r="L17" i="14"/>
  <c r="W17" i="14" s="1"/>
  <c r="X17" i="14" s="1"/>
  <c r="AD16" i="14"/>
  <c r="V16" i="14"/>
  <c r="L16" i="14"/>
  <c r="W16" i="14" s="1"/>
  <c r="X16" i="14" s="1"/>
  <c r="AD15" i="14"/>
  <c r="W15" i="14"/>
  <c r="X15" i="14" s="1"/>
  <c r="V15" i="14"/>
  <c r="L15" i="14"/>
  <c r="AD14" i="14"/>
  <c r="V14" i="14"/>
  <c r="L14" i="14"/>
  <c r="W14" i="14" s="1"/>
  <c r="X14" i="14" s="1"/>
  <c r="AD13" i="14"/>
  <c r="V13" i="14"/>
  <c r="L13" i="14"/>
  <c r="W13" i="14" s="1"/>
  <c r="X13" i="14" s="1"/>
  <c r="AD12" i="14"/>
  <c r="V12" i="14"/>
  <c r="L12" i="14"/>
  <c r="W12" i="14" s="1"/>
  <c r="X12" i="14" s="1"/>
  <c r="AD11" i="14"/>
  <c r="W11" i="14"/>
  <c r="V11" i="14"/>
  <c r="L11" i="14"/>
  <c r="AD10" i="14"/>
  <c r="AD9" i="14"/>
  <c r="AD7" i="14"/>
  <c r="M7" i="14"/>
  <c r="D7" i="14"/>
  <c r="AD6" i="14"/>
  <c r="AD5" i="14"/>
  <c r="AD4" i="14"/>
  <c r="AD3" i="14"/>
  <c r="AD2" i="14"/>
  <c r="AD60" i="13"/>
  <c r="V60" i="13"/>
  <c r="L60" i="13"/>
  <c r="W60" i="13" s="1"/>
  <c r="X60" i="13" s="1"/>
  <c r="AD59" i="13"/>
  <c r="V59" i="13"/>
  <c r="L59" i="13"/>
  <c r="W59" i="13" s="1"/>
  <c r="X59" i="13" s="1"/>
  <c r="AD58" i="13"/>
  <c r="V58" i="13"/>
  <c r="L58" i="13"/>
  <c r="W58" i="13" s="1"/>
  <c r="X58" i="13" s="1"/>
  <c r="AD57" i="13"/>
  <c r="V57" i="13"/>
  <c r="L57" i="13"/>
  <c r="W57" i="13" s="1"/>
  <c r="X57" i="13" s="1"/>
  <c r="AD56" i="13"/>
  <c r="V56" i="13"/>
  <c r="L56" i="13"/>
  <c r="W56" i="13" s="1"/>
  <c r="X56" i="13" s="1"/>
  <c r="AD55" i="13"/>
  <c r="V55" i="13"/>
  <c r="L55" i="13"/>
  <c r="W55" i="13" s="1"/>
  <c r="X55" i="13" s="1"/>
  <c r="AD54" i="13"/>
  <c r="V54" i="13"/>
  <c r="L54" i="13"/>
  <c r="W54" i="13" s="1"/>
  <c r="X54" i="13" s="1"/>
  <c r="AD53" i="13"/>
  <c r="V53" i="13"/>
  <c r="L53" i="13"/>
  <c r="W53" i="13" s="1"/>
  <c r="X53" i="13" s="1"/>
  <c r="AD52" i="13"/>
  <c r="W52" i="13"/>
  <c r="X52" i="13" s="1"/>
  <c r="V52" i="13"/>
  <c r="L52" i="13"/>
  <c r="AD51" i="13"/>
  <c r="V51" i="13"/>
  <c r="L51" i="13"/>
  <c r="W51" i="13" s="1"/>
  <c r="X51" i="13" s="1"/>
  <c r="AD50" i="13"/>
  <c r="V50" i="13"/>
  <c r="L50" i="13"/>
  <c r="W50" i="13" s="1"/>
  <c r="X50" i="13" s="1"/>
  <c r="AD49" i="13"/>
  <c r="V49" i="13"/>
  <c r="L49" i="13"/>
  <c r="W49" i="13" s="1"/>
  <c r="X49" i="13" s="1"/>
  <c r="AD48" i="13"/>
  <c r="V48" i="13"/>
  <c r="L48" i="13"/>
  <c r="W48" i="13" s="1"/>
  <c r="X48" i="13" s="1"/>
  <c r="AD47" i="13"/>
  <c r="V47" i="13"/>
  <c r="L47" i="13"/>
  <c r="W47" i="13" s="1"/>
  <c r="X47" i="13" s="1"/>
  <c r="AD46" i="13"/>
  <c r="V46" i="13"/>
  <c r="L46" i="13"/>
  <c r="W46" i="13" s="1"/>
  <c r="X46" i="13" s="1"/>
  <c r="AD45" i="13"/>
  <c r="V45" i="13"/>
  <c r="L45" i="13"/>
  <c r="W45" i="13" s="1"/>
  <c r="X45" i="13" s="1"/>
  <c r="AD44" i="13"/>
  <c r="V44" i="13"/>
  <c r="L44" i="13"/>
  <c r="W44" i="13" s="1"/>
  <c r="X44" i="13" s="1"/>
  <c r="AD43" i="13"/>
  <c r="V43" i="13"/>
  <c r="L43" i="13"/>
  <c r="W43" i="13" s="1"/>
  <c r="X43" i="13" s="1"/>
  <c r="AD42" i="13"/>
  <c r="V42" i="13"/>
  <c r="L42" i="13"/>
  <c r="W42" i="13" s="1"/>
  <c r="X42" i="13" s="1"/>
  <c r="AD41" i="13"/>
  <c r="V41" i="13"/>
  <c r="L41" i="13"/>
  <c r="W41" i="13" s="1"/>
  <c r="X41" i="13" s="1"/>
  <c r="AD40" i="13"/>
  <c r="V40" i="13"/>
  <c r="L40" i="13"/>
  <c r="W40" i="13" s="1"/>
  <c r="X40" i="13" s="1"/>
  <c r="AD39" i="13"/>
  <c r="V39" i="13"/>
  <c r="L39" i="13"/>
  <c r="W39" i="13" s="1"/>
  <c r="X39" i="13" s="1"/>
  <c r="AD38" i="13"/>
  <c r="V38" i="13"/>
  <c r="L38" i="13"/>
  <c r="W38" i="13" s="1"/>
  <c r="X38" i="13" s="1"/>
  <c r="AD37" i="13"/>
  <c r="V37" i="13"/>
  <c r="L37" i="13"/>
  <c r="W37" i="13" s="1"/>
  <c r="X37" i="13" s="1"/>
  <c r="AD36" i="13"/>
  <c r="W36" i="13"/>
  <c r="X36" i="13" s="1"/>
  <c r="V36" i="13"/>
  <c r="L36" i="13"/>
  <c r="AD35" i="13"/>
  <c r="V35" i="13"/>
  <c r="L35" i="13"/>
  <c r="W35" i="13" s="1"/>
  <c r="X35" i="13" s="1"/>
  <c r="AD34" i="13"/>
  <c r="V34" i="13"/>
  <c r="L34" i="13"/>
  <c r="W34" i="13" s="1"/>
  <c r="X34" i="13" s="1"/>
  <c r="AD33" i="13"/>
  <c r="V33" i="13"/>
  <c r="L33" i="13"/>
  <c r="W33" i="13" s="1"/>
  <c r="X33" i="13" s="1"/>
  <c r="AD32" i="13"/>
  <c r="V32" i="13"/>
  <c r="L32" i="13"/>
  <c r="W32" i="13" s="1"/>
  <c r="X32" i="13" s="1"/>
  <c r="AD31" i="13"/>
  <c r="V31" i="13"/>
  <c r="L31" i="13"/>
  <c r="W31" i="13" s="1"/>
  <c r="X31" i="13" s="1"/>
  <c r="AD30" i="13"/>
  <c r="W30" i="13"/>
  <c r="X30" i="13" s="1"/>
  <c r="V30" i="13"/>
  <c r="L30" i="13"/>
  <c r="AD29" i="13"/>
  <c r="X29" i="13"/>
  <c r="W29" i="13"/>
  <c r="V29" i="13"/>
  <c r="L29" i="13"/>
  <c r="AD28" i="13"/>
  <c r="V28" i="13"/>
  <c r="L28" i="13"/>
  <c r="W28" i="13" s="1"/>
  <c r="X28" i="13" s="1"/>
  <c r="AD27" i="13"/>
  <c r="V27" i="13"/>
  <c r="L27" i="13"/>
  <c r="W27" i="13" s="1"/>
  <c r="X27" i="13" s="1"/>
  <c r="AD26" i="13"/>
  <c r="V26" i="13"/>
  <c r="L26" i="13"/>
  <c r="W26" i="13" s="1"/>
  <c r="X26" i="13" s="1"/>
  <c r="AD25" i="13"/>
  <c r="V25" i="13"/>
  <c r="L25" i="13"/>
  <c r="W25" i="13" s="1"/>
  <c r="X25" i="13" s="1"/>
  <c r="AD24" i="13"/>
  <c r="W24" i="13"/>
  <c r="X24" i="13" s="1"/>
  <c r="V24" i="13"/>
  <c r="L24" i="13"/>
  <c r="AD23" i="13"/>
  <c r="X23" i="13"/>
  <c r="W23" i="13"/>
  <c r="V23" i="13"/>
  <c r="L23" i="13"/>
  <c r="AD22" i="13"/>
  <c r="W22" i="13"/>
  <c r="X22" i="13" s="1"/>
  <c r="V22" i="13"/>
  <c r="L22" i="13"/>
  <c r="AD21" i="13"/>
  <c r="W21" i="13"/>
  <c r="X21" i="13" s="1"/>
  <c r="V21" i="13"/>
  <c r="L21" i="13"/>
  <c r="AD20" i="13"/>
  <c r="V20" i="13"/>
  <c r="L20" i="13"/>
  <c r="W20" i="13" s="1"/>
  <c r="X20" i="13" s="1"/>
  <c r="AD19" i="13"/>
  <c r="V19" i="13"/>
  <c r="L19" i="13"/>
  <c r="W19" i="13" s="1"/>
  <c r="X19" i="13" s="1"/>
  <c r="AD18" i="13"/>
  <c r="V18" i="13"/>
  <c r="L18" i="13"/>
  <c r="AD17" i="13"/>
  <c r="V17" i="13"/>
  <c r="L17" i="13"/>
  <c r="AD16" i="13"/>
  <c r="V16" i="13"/>
  <c r="L16" i="13"/>
  <c r="W16" i="13" s="1"/>
  <c r="X16" i="13" s="1"/>
  <c r="AD15" i="13"/>
  <c r="V15" i="13"/>
  <c r="L15" i="13"/>
  <c r="W15" i="13" s="1"/>
  <c r="X15" i="13" s="1"/>
  <c r="AD14" i="13"/>
  <c r="V14" i="13"/>
  <c r="L14" i="13"/>
  <c r="AD13" i="13"/>
  <c r="V13" i="13"/>
  <c r="L13" i="13"/>
  <c r="AD12" i="13"/>
  <c r="W12" i="13"/>
  <c r="X12" i="13" s="1"/>
  <c r="V12" i="13"/>
  <c r="L12" i="13"/>
  <c r="AD11" i="13"/>
  <c r="V11" i="13"/>
  <c r="L11" i="13"/>
  <c r="AD10" i="13"/>
  <c r="AD9" i="13"/>
  <c r="AD7" i="13"/>
  <c r="W18" i="13" s="1"/>
  <c r="X18" i="13" s="1"/>
  <c r="M7" i="13"/>
  <c r="D7" i="13"/>
  <c r="AD6" i="13"/>
  <c r="AD5" i="13"/>
  <c r="AD4" i="13"/>
  <c r="AD3" i="13"/>
  <c r="AD2" i="13"/>
  <c r="AD60" i="12"/>
  <c r="V60" i="12"/>
  <c r="L60" i="12"/>
  <c r="W60" i="12" s="1"/>
  <c r="X60" i="12" s="1"/>
  <c r="AD59" i="12"/>
  <c r="V59" i="12"/>
  <c r="L59" i="12"/>
  <c r="W59" i="12" s="1"/>
  <c r="X59" i="12" s="1"/>
  <c r="AD58" i="12"/>
  <c r="W58" i="12"/>
  <c r="X58" i="12" s="1"/>
  <c r="V58" i="12"/>
  <c r="L58" i="12"/>
  <c r="AD57" i="12"/>
  <c r="W57" i="12"/>
  <c r="X57" i="12" s="1"/>
  <c r="V57" i="12"/>
  <c r="L57" i="12"/>
  <c r="AD56" i="12"/>
  <c r="V56" i="12"/>
  <c r="L56" i="12"/>
  <c r="W56" i="12" s="1"/>
  <c r="X56" i="12" s="1"/>
  <c r="AD55" i="12"/>
  <c r="W55" i="12"/>
  <c r="X55" i="12" s="1"/>
  <c r="V55" i="12"/>
  <c r="L55" i="12"/>
  <c r="AD54" i="12"/>
  <c r="X54" i="12"/>
  <c r="W54" i="12"/>
  <c r="V54" i="12"/>
  <c r="L54" i="12"/>
  <c r="AD53" i="12"/>
  <c r="V53" i="12"/>
  <c r="L53" i="12"/>
  <c r="W53" i="12" s="1"/>
  <c r="X53" i="12" s="1"/>
  <c r="AD52" i="12"/>
  <c r="V52" i="12"/>
  <c r="L52" i="12"/>
  <c r="W52" i="12" s="1"/>
  <c r="X52" i="12" s="1"/>
  <c r="AD51" i="12"/>
  <c r="V51" i="12"/>
  <c r="L51" i="12"/>
  <c r="W51" i="12" s="1"/>
  <c r="X51" i="12" s="1"/>
  <c r="AD50" i="12"/>
  <c r="V50" i="12"/>
  <c r="L50" i="12"/>
  <c r="W50" i="12" s="1"/>
  <c r="X50" i="12" s="1"/>
  <c r="AD49" i="12"/>
  <c r="V49" i="12"/>
  <c r="L49" i="12"/>
  <c r="W49" i="12" s="1"/>
  <c r="X49" i="12" s="1"/>
  <c r="AD48" i="12"/>
  <c r="V48" i="12"/>
  <c r="L48" i="12"/>
  <c r="W48" i="12" s="1"/>
  <c r="X48" i="12" s="1"/>
  <c r="AD47" i="12"/>
  <c r="W47" i="12"/>
  <c r="X47" i="12" s="1"/>
  <c r="V47" i="12"/>
  <c r="L47" i="12"/>
  <c r="AD46" i="12"/>
  <c r="W46" i="12"/>
  <c r="X46" i="12" s="1"/>
  <c r="V46" i="12"/>
  <c r="L46" i="12"/>
  <c r="AD45" i="12"/>
  <c r="W45" i="12"/>
  <c r="X45" i="12" s="1"/>
  <c r="V45" i="12"/>
  <c r="L45" i="12"/>
  <c r="AD44" i="12"/>
  <c r="V44" i="12"/>
  <c r="L44" i="12"/>
  <c r="W44" i="12" s="1"/>
  <c r="X44" i="12" s="1"/>
  <c r="AD43" i="12"/>
  <c r="W43" i="12"/>
  <c r="X43" i="12" s="1"/>
  <c r="V43" i="12"/>
  <c r="L43" i="12"/>
  <c r="AD42" i="12"/>
  <c r="W42" i="12"/>
  <c r="X42" i="12" s="1"/>
  <c r="V42" i="12"/>
  <c r="L42" i="12"/>
  <c r="AD41" i="12"/>
  <c r="V41" i="12"/>
  <c r="L41" i="12"/>
  <c r="W41" i="12" s="1"/>
  <c r="X41" i="12" s="1"/>
  <c r="AD40" i="12"/>
  <c r="V40" i="12"/>
  <c r="L40" i="12"/>
  <c r="W40" i="12" s="1"/>
  <c r="X40" i="12" s="1"/>
  <c r="AD39" i="12"/>
  <c r="V39" i="12"/>
  <c r="L39" i="12"/>
  <c r="W39" i="12" s="1"/>
  <c r="X39" i="12" s="1"/>
  <c r="AD38" i="12"/>
  <c r="W38" i="12"/>
  <c r="X38" i="12" s="1"/>
  <c r="V38" i="12"/>
  <c r="L38" i="12"/>
  <c r="AD37" i="12"/>
  <c r="V37" i="12"/>
  <c r="L37" i="12"/>
  <c r="W37" i="12" s="1"/>
  <c r="X37" i="12" s="1"/>
  <c r="AD36" i="12"/>
  <c r="V36" i="12"/>
  <c r="L36" i="12"/>
  <c r="W36" i="12" s="1"/>
  <c r="X36" i="12" s="1"/>
  <c r="AD35" i="12"/>
  <c r="V35" i="12"/>
  <c r="L35" i="12"/>
  <c r="W35" i="12" s="1"/>
  <c r="X35" i="12" s="1"/>
  <c r="AD34" i="12"/>
  <c r="V34" i="12"/>
  <c r="L34" i="12"/>
  <c r="W34" i="12" s="1"/>
  <c r="X34" i="12" s="1"/>
  <c r="AD33" i="12"/>
  <c r="V33" i="12"/>
  <c r="L33" i="12"/>
  <c r="W33" i="12" s="1"/>
  <c r="X33" i="12" s="1"/>
  <c r="AD32" i="12"/>
  <c r="V32" i="12"/>
  <c r="L32" i="12"/>
  <c r="W32" i="12" s="1"/>
  <c r="X32" i="12" s="1"/>
  <c r="AD31" i="12"/>
  <c r="V31" i="12"/>
  <c r="L31" i="12"/>
  <c r="W31" i="12" s="1"/>
  <c r="X31" i="12" s="1"/>
  <c r="AD30" i="12"/>
  <c r="V30" i="12"/>
  <c r="L30" i="12"/>
  <c r="W30" i="12" s="1"/>
  <c r="X30" i="12" s="1"/>
  <c r="AD29" i="12"/>
  <c r="V29" i="12"/>
  <c r="L29" i="12"/>
  <c r="W29" i="12" s="1"/>
  <c r="X29" i="12" s="1"/>
  <c r="AD28" i="12"/>
  <c r="V28" i="12"/>
  <c r="L28" i="12"/>
  <c r="W28" i="12" s="1"/>
  <c r="X28" i="12" s="1"/>
  <c r="AD27" i="12"/>
  <c r="V27" i="12"/>
  <c r="L27" i="12"/>
  <c r="W27" i="12" s="1"/>
  <c r="X27" i="12" s="1"/>
  <c r="AD26" i="12"/>
  <c r="W26" i="12"/>
  <c r="X26" i="12" s="1"/>
  <c r="V26" i="12"/>
  <c r="L26" i="12"/>
  <c r="AD25" i="12"/>
  <c r="V25" i="12"/>
  <c r="L25" i="12"/>
  <c r="W25" i="12" s="1"/>
  <c r="X25" i="12" s="1"/>
  <c r="AD24" i="12"/>
  <c r="V24" i="12"/>
  <c r="L24" i="12"/>
  <c r="W24" i="12" s="1"/>
  <c r="X24" i="12" s="1"/>
  <c r="AD23" i="12"/>
  <c r="V23" i="12"/>
  <c r="L23" i="12"/>
  <c r="W23" i="12" s="1"/>
  <c r="X23" i="12" s="1"/>
  <c r="AD22" i="12"/>
  <c r="V22" i="12"/>
  <c r="L22" i="12"/>
  <c r="W22" i="12" s="1"/>
  <c r="X22" i="12" s="1"/>
  <c r="AD21" i="12"/>
  <c r="V21" i="12"/>
  <c r="L21" i="12"/>
  <c r="W21" i="12" s="1"/>
  <c r="X21" i="12" s="1"/>
  <c r="AD20" i="12"/>
  <c r="V20" i="12"/>
  <c r="L20" i="12"/>
  <c r="AD19" i="12"/>
  <c r="W19" i="12"/>
  <c r="X19" i="12" s="1"/>
  <c r="V19" i="12"/>
  <c r="L19" i="12"/>
  <c r="AD18" i="12"/>
  <c r="V18" i="12"/>
  <c r="L18" i="12"/>
  <c r="AD17" i="12"/>
  <c r="V17" i="12"/>
  <c r="L17" i="12"/>
  <c r="AD16" i="12"/>
  <c r="V16" i="12"/>
  <c r="L16" i="12"/>
  <c r="AD15" i="12"/>
  <c r="V15" i="12"/>
  <c r="L15" i="12"/>
  <c r="AD14" i="12"/>
  <c r="V14" i="12"/>
  <c r="L14" i="12"/>
  <c r="AD13" i="12"/>
  <c r="V13" i="12"/>
  <c r="L13" i="12"/>
  <c r="AD12" i="12"/>
  <c r="V12" i="12"/>
  <c r="L12" i="12"/>
  <c r="AD11" i="12"/>
  <c r="V11" i="12"/>
  <c r="L11" i="12"/>
  <c r="AD10" i="12"/>
  <c r="AD9" i="12"/>
  <c r="AD7" i="12"/>
  <c r="M7" i="12"/>
  <c r="D7" i="12"/>
  <c r="AD6" i="12"/>
  <c r="AD5" i="12"/>
  <c r="AD4" i="12"/>
  <c r="AD3" i="12"/>
  <c r="AD2" i="12"/>
  <c r="AD60" i="10"/>
  <c r="V60" i="10"/>
  <c r="L60" i="10"/>
  <c r="W60" i="10" s="1"/>
  <c r="X60" i="10" s="1"/>
  <c r="AD59" i="10"/>
  <c r="V59" i="10"/>
  <c r="L59" i="10"/>
  <c r="W59" i="10" s="1"/>
  <c r="X59" i="10" s="1"/>
  <c r="AD58" i="10"/>
  <c r="V58" i="10"/>
  <c r="L58" i="10"/>
  <c r="W58" i="10" s="1"/>
  <c r="X58" i="10" s="1"/>
  <c r="AD57" i="10"/>
  <c r="V57" i="10"/>
  <c r="L57" i="10"/>
  <c r="W57" i="10" s="1"/>
  <c r="X57" i="10" s="1"/>
  <c r="AD56" i="10"/>
  <c r="V56" i="10"/>
  <c r="L56" i="10"/>
  <c r="W56" i="10" s="1"/>
  <c r="X56" i="10" s="1"/>
  <c r="AD55" i="10"/>
  <c r="W55" i="10"/>
  <c r="X55" i="10" s="1"/>
  <c r="V55" i="10"/>
  <c r="L55" i="10"/>
  <c r="AD54" i="10"/>
  <c r="W54" i="10"/>
  <c r="X54" i="10" s="1"/>
  <c r="V54" i="10"/>
  <c r="L54" i="10"/>
  <c r="AD53" i="10"/>
  <c r="V53" i="10"/>
  <c r="L53" i="10"/>
  <c r="W53" i="10" s="1"/>
  <c r="X53" i="10" s="1"/>
  <c r="AD52" i="10"/>
  <c r="V52" i="10"/>
  <c r="L52" i="10"/>
  <c r="W52" i="10" s="1"/>
  <c r="X52" i="10" s="1"/>
  <c r="AD51" i="10"/>
  <c r="V51" i="10"/>
  <c r="L51" i="10"/>
  <c r="W51" i="10" s="1"/>
  <c r="X51" i="10" s="1"/>
  <c r="AD50" i="10"/>
  <c r="V50" i="10"/>
  <c r="L50" i="10"/>
  <c r="W50" i="10" s="1"/>
  <c r="X50" i="10" s="1"/>
  <c r="AD49" i="10"/>
  <c r="V49" i="10"/>
  <c r="L49" i="10"/>
  <c r="W49" i="10" s="1"/>
  <c r="X49" i="10" s="1"/>
  <c r="AD48" i="10"/>
  <c r="V48" i="10"/>
  <c r="L48" i="10"/>
  <c r="W48" i="10" s="1"/>
  <c r="X48" i="10" s="1"/>
  <c r="AD47" i="10"/>
  <c r="W47" i="10"/>
  <c r="X47" i="10" s="1"/>
  <c r="V47" i="10"/>
  <c r="L47" i="10"/>
  <c r="AD46" i="10"/>
  <c r="W46" i="10"/>
  <c r="X46" i="10" s="1"/>
  <c r="V46" i="10"/>
  <c r="L46" i="10"/>
  <c r="AD45" i="10"/>
  <c r="V45" i="10"/>
  <c r="L45" i="10"/>
  <c r="W45" i="10" s="1"/>
  <c r="X45" i="10" s="1"/>
  <c r="AD44" i="10"/>
  <c r="V44" i="10"/>
  <c r="L44" i="10"/>
  <c r="W44" i="10" s="1"/>
  <c r="X44" i="10" s="1"/>
  <c r="AD43" i="10"/>
  <c r="V43" i="10"/>
  <c r="L43" i="10"/>
  <c r="W43" i="10" s="1"/>
  <c r="X43" i="10" s="1"/>
  <c r="AD42" i="10"/>
  <c r="V42" i="10"/>
  <c r="L42" i="10"/>
  <c r="W42" i="10" s="1"/>
  <c r="X42" i="10" s="1"/>
  <c r="AD41" i="10"/>
  <c r="V41" i="10"/>
  <c r="L41" i="10"/>
  <c r="W41" i="10" s="1"/>
  <c r="X41" i="10" s="1"/>
  <c r="AD40" i="10"/>
  <c r="V40" i="10"/>
  <c r="L40" i="10"/>
  <c r="W40" i="10" s="1"/>
  <c r="X40" i="10" s="1"/>
  <c r="AD39" i="10"/>
  <c r="W39" i="10"/>
  <c r="X39" i="10" s="1"/>
  <c r="V39" i="10"/>
  <c r="L39" i="10"/>
  <c r="AD38" i="10"/>
  <c r="W38" i="10"/>
  <c r="X38" i="10" s="1"/>
  <c r="V38" i="10"/>
  <c r="L38" i="10"/>
  <c r="AD37" i="10"/>
  <c r="V37" i="10"/>
  <c r="L37" i="10"/>
  <c r="W37" i="10" s="1"/>
  <c r="X37" i="10" s="1"/>
  <c r="AD36" i="10"/>
  <c r="V36" i="10"/>
  <c r="L36" i="10"/>
  <c r="W36" i="10" s="1"/>
  <c r="X36" i="10" s="1"/>
  <c r="AD35" i="10"/>
  <c r="V35" i="10"/>
  <c r="L35" i="10"/>
  <c r="W35" i="10" s="1"/>
  <c r="X35" i="10" s="1"/>
  <c r="AD34" i="10"/>
  <c r="V34" i="10"/>
  <c r="L34" i="10"/>
  <c r="W34" i="10" s="1"/>
  <c r="X34" i="10" s="1"/>
  <c r="AD33" i="10"/>
  <c r="V33" i="10"/>
  <c r="L33" i="10"/>
  <c r="W33" i="10" s="1"/>
  <c r="X33" i="10" s="1"/>
  <c r="AD32" i="10"/>
  <c r="V32" i="10"/>
  <c r="L32" i="10"/>
  <c r="W32" i="10" s="1"/>
  <c r="X32" i="10" s="1"/>
  <c r="AD31" i="10"/>
  <c r="W31" i="10"/>
  <c r="X31" i="10" s="1"/>
  <c r="V31" i="10"/>
  <c r="L31" i="10"/>
  <c r="AD30" i="10"/>
  <c r="W30" i="10"/>
  <c r="X30" i="10" s="1"/>
  <c r="V30" i="10"/>
  <c r="L30" i="10"/>
  <c r="AD29" i="10"/>
  <c r="V29" i="10"/>
  <c r="L29" i="10"/>
  <c r="W29" i="10" s="1"/>
  <c r="X29" i="10" s="1"/>
  <c r="AD28" i="10"/>
  <c r="V28" i="10"/>
  <c r="L28" i="10"/>
  <c r="W28" i="10" s="1"/>
  <c r="X28" i="10" s="1"/>
  <c r="AD27" i="10"/>
  <c r="V27" i="10"/>
  <c r="L27" i="10"/>
  <c r="W27" i="10" s="1"/>
  <c r="X27" i="10" s="1"/>
  <c r="AD26" i="10"/>
  <c r="V26" i="10"/>
  <c r="L26" i="10"/>
  <c r="W26" i="10" s="1"/>
  <c r="X26" i="10" s="1"/>
  <c r="AD25" i="10"/>
  <c r="V25" i="10"/>
  <c r="L25" i="10"/>
  <c r="W25" i="10" s="1"/>
  <c r="X25" i="10" s="1"/>
  <c r="AD24" i="10"/>
  <c r="V24" i="10"/>
  <c r="L24" i="10"/>
  <c r="W24" i="10" s="1"/>
  <c r="X24" i="10" s="1"/>
  <c r="AD23" i="10"/>
  <c r="W23" i="10"/>
  <c r="X23" i="10" s="1"/>
  <c r="V23" i="10"/>
  <c r="L23" i="10"/>
  <c r="AD22" i="10"/>
  <c r="W22" i="10"/>
  <c r="X22" i="10" s="1"/>
  <c r="V22" i="10"/>
  <c r="L22" i="10"/>
  <c r="AD21" i="10"/>
  <c r="V21" i="10"/>
  <c r="L21" i="10"/>
  <c r="W21" i="10" s="1"/>
  <c r="X21" i="10" s="1"/>
  <c r="AD20" i="10"/>
  <c r="V20" i="10"/>
  <c r="L20" i="10"/>
  <c r="W20" i="10" s="1"/>
  <c r="X20" i="10" s="1"/>
  <c r="AD19" i="10"/>
  <c r="V19" i="10"/>
  <c r="L19" i="10"/>
  <c r="W19" i="10" s="1"/>
  <c r="X19" i="10" s="1"/>
  <c r="AD18" i="10"/>
  <c r="V18" i="10"/>
  <c r="L18" i="10"/>
  <c r="W18" i="10" s="1"/>
  <c r="X18" i="10" s="1"/>
  <c r="AD17" i="10"/>
  <c r="V17" i="10"/>
  <c r="L17" i="10"/>
  <c r="W17" i="10" s="1"/>
  <c r="X17" i="10" s="1"/>
  <c r="AD16" i="10"/>
  <c r="V16" i="10"/>
  <c r="L16" i="10"/>
  <c r="W16" i="10" s="1"/>
  <c r="X16" i="10" s="1"/>
  <c r="AD15" i="10"/>
  <c r="W15" i="10"/>
  <c r="X15" i="10" s="1"/>
  <c r="V15" i="10"/>
  <c r="L15" i="10"/>
  <c r="AD14" i="10"/>
  <c r="W14" i="10"/>
  <c r="X14" i="10" s="1"/>
  <c r="V14" i="10"/>
  <c r="L14" i="10"/>
  <c r="AD13" i="10"/>
  <c r="V13" i="10"/>
  <c r="L13" i="10"/>
  <c r="W13" i="10" s="1"/>
  <c r="X13" i="10" s="1"/>
  <c r="AD12" i="10"/>
  <c r="V12" i="10"/>
  <c r="L12" i="10"/>
  <c r="W12" i="10" s="1"/>
  <c r="X12" i="10" s="1"/>
  <c r="AD11" i="10"/>
  <c r="V11" i="10"/>
  <c r="L11" i="10"/>
  <c r="AD10" i="10"/>
  <c r="AD9" i="10"/>
  <c r="AD8" i="10"/>
  <c r="AD7" i="10"/>
  <c r="M7" i="10"/>
  <c r="D7" i="10"/>
  <c r="AD6" i="10"/>
  <c r="AD5" i="10"/>
  <c r="AD4" i="10"/>
  <c r="AD3" i="10"/>
  <c r="AD2" i="10"/>
  <c r="M7" i="5"/>
  <c r="D7" i="5"/>
  <c r="M7" i="8"/>
  <c r="D7" i="8"/>
  <c r="D7" i="9"/>
  <c r="AD60" i="9"/>
  <c r="V60" i="9"/>
  <c r="L60" i="9"/>
  <c r="AD59" i="9"/>
  <c r="V59" i="9"/>
  <c r="L59" i="9"/>
  <c r="AD58" i="9"/>
  <c r="V58" i="9"/>
  <c r="L58" i="9"/>
  <c r="AD57" i="9"/>
  <c r="V57" i="9"/>
  <c r="L57" i="9"/>
  <c r="AD56" i="9"/>
  <c r="V56" i="9"/>
  <c r="L56" i="9"/>
  <c r="AD55" i="9"/>
  <c r="V55" i="9"/>
  <c r="L55" i="9"/>
  <c r="AD54" i="9"/>
  <c r="V54" i="9"/>
  <c r="L54" i="9"/>
  <c r="AD53" i="9"/>
  <c r="V53" i="9"/>
  <c r="L53" i="9"/>
  <c r="AD52" i="9"/>
  <c r="V52" i="9"/>
  <c r="L52" i="9"/>
  <c r="AD51" i="9"/>
  <c r="V51" i="9"/>
  <c r="L51" i="9"/>
  <c r="AD50" i="9"/>
  <c r="V50" i="9"/>
  <c r="L50" i="9"/>
  <c r="W50" i="9" s="1"/>
  <c r="X50" i="9" s="1"/>
  <c r="AD49" i="9"/>
  <c r="V49" i="9"/>
  <c r="L49" i="9"/>
  <c r="AD48" i="9"/>
  <c r="V48" i="9"/>
  <c r="L48" i="9"/>
  <c r="AD47" i="9"/>
  <c r="V47" i="9"/>
  <c r="L47" i="9"/>
  <c r="AD46" i="9"/>
  <c r="V46" i="9"/>
  <c r="L46" i="9"/>
  <c r="W46" i="9" s="1"/>
  <c r="X46" i="9" s="1"/>
  <c r="AD45" i="9"/>
  <c r="V45" i="9"/>
  <c r="L45" i="9"/>
  <c r="AD44" i="9"/>
  <c r="V44" i="9"/>
  <c r="L44" i="9"/>
  <c r="AD43" i="9"/>
  <c r="V43" i="9"/>
  <c r="L43" i="9"/>
  <c r="AD42" i="9"/>
  <c r="V42" i="9"/>
  <c r="L42" i="9"/>
  <c r="AD41" i="9"/>
  <c r="V41" i="9"/>
  <c r="L41" i="9"/>
  <c r="AD40" i="9"/>
  <c r="V40" i="9"/>
  <c r="L40" i="9"/>
  <c r="AD39" i="9"/>
  <c r="V39" i="9"/>
  <c r="L39" i="9"/>
  <c r="AD38" i="9"/>
  <c r="V38" i="9"/>
  <c r="L38" i="9"/>
  <c r="AD37" i="9"/>
  <c r="V37" i="9"/>
  <c r="L37" i="9"/>
  <c r="AD36" i="9"/>
  <c r="V36" i="9"/>
  <c r="L36" i="9"/>
  <c r="AD35" i="9"/>
  <c r="V35" i="9"/>
  <c r="L35" i="9"/>
  <c r="AD34" i="9"/>
  <c r="V34" i="9"/>
  <c r="L34" i="9"/>
  <c r="AD33" i="9"/>
  <c r="V33" i="9"/>
  <c r="L33" i="9"/>
  <c r="AD32" i="9"/>
  <c r="V32" i="9"/>
  <c r="L32" i="9"/>
  <c r="W32" i="9" s="1"/>
  <c r="X32" i="9" s="1"/>
  <c r="AD31" i="9"/>
  <c r="V31" i="9"/>
  <c r="L31" i="9"/>
  <c r="AD30" i="9"/>
  <c r="V30" i="9"/>
  <c r="L30" i="9"/>
  <c r="AD29" i="9"/>
  <c r="V29" i="9"/>
  <c r="L29" i="9"/>
  <c r="AD28" i="9"/>
  <c r="V28" i="9"/>
  <c r="L28" i="9"/>
  <c r="AD27" i="9"/>
  <c r="V27" i="9"/>
  <c r="L27" i="9"/>
  <c r="AD26" i="9"/>
  <c r="V26" i="9"/>
  <c r="L26" i="9"/>
  <c r="AD25" i="9"/>
  <c r="V25" i="9"/>
  <c r="L25" i="9"/>
  <c r="AD24" i="9"/>
  <c r="V24" i="9"/>
  <c r="L24" i="9"/>
  <c r="W24" i="9" s="1"/>
  <c r="X24" i="9" s="1"/>
  <c r="AD23" i="9"/>
  <c r="V23" i="9"/>
  <c r="L23" i="9"/>
  <c r="W23" i="9" s="1"/>
  <c r="X23" i="9" s="1"/>
  <c r="AD22" i="9"/>
  <c r="V22" i="9"/>
  <c r="L22" i="9"/>
  <c r="W22" i="9" s="1"/>
  <c r="X22" i="9" s="1"/>
  <c r="AD21" i="9"/>
  <c r="V21" i="9"/>
  <c r="L21" i="9"/>
  <c r="AD20" i="9"/>
  <c r="V20" i="9"/>
  <c r="L20" i="9"/>
  <c r="AD19" i="9"/>
  <c r="V19" i="9"/>
  <c r="L19" i="9"/>
  <c r="AD18" i="9"/>
  <c r="V18" i="9"/>
  <c r="L18" i="9"/>
  <c r="W18" i="9" s="1"/>
  <c r="X18" i="9" s="1"/>
  <c r="AD17" i="9"/>
  <c r="V17" i="9"/>
  <c r="L17" i="9"/>
  <c r="AD16" i="9"/>
  <c r="V16" i="9"/>
  <c r="L16" i="9"/>
  <c r="AD15" i="9"/>
  <c r="V15" i="9"/>
  <c r="L15" i="9"/>
  <c r="AD14" i="9"/>
  <c r="V14" i="9"/>
  <c r="L14" i="9"/>
  <c r="AD13" i="9"/>
  <c r="V13" i="9"/>
  <c r="L13" i="9"/>
  <c r="AD12" i="9"/>
  <c r="V12" i="9"/>
  <c r="L12" i="9"/>
  <c r="AD11" i="9"/>
  <c r="V11" i="9"/>
  <c r="L11" i="9"/>
  <c r="AD10" i="9"/>
  <c r="AD9" i="9"/>
  <c r="AD8" i="9"/>
  <c r="M7" i="9"/>
  <c r="AD7" i="9"/>
  <c r="W45" i="9" s="1"/>
  <c r="X45" i="9" s="1"/>
  <c r="AD6" i="9"/>
  <c r="AD5" i="9"/>
  <c r="W38" i="9" s="1"/>
  <c r="X38" i="9" s="1"/>
  <c r="AD4" i="9"/>
  <c r="AD3" i="9"/>
  <c r="AD2" i="9"/>
  <c r="AD60" i="8"/>
  <c r="V60" i="8"/>
  <c r="L60" i="8"/>
  <c r="AD59" i="8"/>
  <c r="V59" i="8"/>
  <c r="L59" i="8"/>
  <c r="W59" i="8" s="1"/>
  <c r="X59" i="8" s="1"/>
  <c r="AD58" i="8"/>
  <c r="V58" i="8"/>
  <c r="L58" i="8"/>
  <c r="W58" i="8" s="1"/>
  <c r="X58" i="8" s="1"/>
  <c r="AD57" i="8"/>
  <c r="V57" i="8"/>
  <c r="L57" i="8"/>
  <c r="AD56" i="8"/>
  <c r="V56" i="8"/>
  <c r="L56" i="8"/>
  <c r="AD55" i="8"/>
  <c r="V55" i="8"/>
  <c r="L55" i="8"/>
  <c r="W55" i="8" s="1"/>
  <c r="X55" i="8" s="1"/>
  <c r="AD54" i="8"/>
  <c r="V54" i="8"/>
  <c r="L54" i="8"/>
  <c r="W54" i="8" s="1"/>
  <c r="X54" i="8" s="1"/>
  <c r="AD53" i="8"/>
  <c r="V53" i="8"/>
  <c r="L53" i="8"/>
  <c r="AD52" i="8"/>
  <c r="V52" i="8"/>
  <c r="L52" i="8"/>
  <c r="AD51" i="8"/>
  <c r="V51" i="8"/>
  <c r="L51" i="8"/>
  <c r="W51" i="8" s="1"/>
  <c r="X51" i="8" s="1"/>
  <c r="AD50" i="8"/>
  <c r="V50" i="8"/>
  <c r="L50" i="8"/>
  <c r="W50" i="8" s="1"/>
  <c r="X50" i="8" s="1"/>
  <c r="AD49" i="8"/>
  <c r="V49" i="8"/>
  <c r="L49" i="8"/>
  <c r="AD48" i="8"/>
  <c r="V48" i="8"/>
  <c r="L48" i="8"/>
  <c r="AD47" i="8"/>
  <c r="V47" i="8"/>
  <c r="L47" i="8"/>
  <c r="W47" i="8" s="1"/>
  <c r="X47" i="8" s="1"/>
  <c r="AD46" i="8"/>
  <c r="V46" i="8"/>
  <c r="L46" i="8"/>
  <c r="W46" i="8" s="1"/>
  <c r="X46" i="8" s="1"/>
  <c r="AD45" i="8"/>
  <c r="V45" i="8"/>
  <c r="L45" i="8"/>
  <c r="AD44" i="8"/>
  <c r="V44" i="8"/>
  <c r="L44" i="8"/>
  <c r="W44" i="8" s="1"/>
  <c r="X44" i="8" s="1"/>
  <c r="AD43" i="8"/>
  <c r="V43" i="8"/>
  <c r="L43" i="8"/>
  <c r="W43" i="8" s="1"/>
  <c r="X43" i="8" s="1"/>
  <c r="AD42" i="8"/>
  <c r="V42" i="8"/>
  <c r="L42" i="8"/>
  <c r="W42" i="8" s="1"/>
  <c r="X42" i="8" s="1"/>
  <c r="AD41" i="8"/>
  <c r="V41" i="8"/>
  <c r="W41" i="8" s="1"/>
  <c r="X41" i="8" s="1"/>
  <c r="L41" i="8"/>
  <c r="AD40" i="8"/>
  <c r="V40" i="8"/>
  <c r="L40" i="8"/>
  <c r="W40" i="8" s="1"/>
  <c r="X40" i="8" s="1"/>
  <c r="AD39" i="8"/>
  <c r="V39" i="8"/>
  <c r="L39" i="8"/>
  <c r="W39" i="8" s="1"/>
  <c r="X39" i="8" s="1"/>
  <c r="AD38" i="8"/>
  <c r="V38" i="8"/>
  <c r="L38" i="8"/>
  <c r="W38" i="8" s="1"/>
  <c r="X38" i="8" s="1"/>
  <c r="AD37" i="8"/>
  <c r="V37" i="8"/>
  <c r="L37" i="8"/>
  <c r="W37" i="8" s="1"/>
  <c r="X37" i="8" s="1"/>
  <c r="AD36" i="8"/>
  <c r="V36" i="8"/>
  <c r="L36" i="8"/>
  <c r="AD35" i="8"/>
  <c r="V35" i="8"/>
  <c r="L35" i="8"/>
  <c r="W35" i="8" s="1"/>
  <c r="X35" i="8" s="1"/>
  <c r="AD34" i="8"/>
  <c r="V34" i="8"/>
  <c r="L34" i="8"/>
  <c r="W34" i="8" s="1"/>
  <c r="X34" i="8" s="1"/>
  <c r="AD33" i="8"/>
  <c r="V33" i="8"/>
  <c r="L33" i="8"/>
  <c r="W33" i="8" s="1"/>
  <c r="X33" i="8" s="1"/>
  <c r="AD32" i="8"/>
  <c r="V32" i="8"/>
  <c r="L32" i="8"/>
  <c r="W32" i="8" s="1"/>
  <c r="X32" i="8" s="1"/>
  <c r="AD31" i="8"/>
  <c r="V31" i="8"/>
  <c r="L31" i="8"/>
  <c r="W31" i="8" s="1"/>
  <c r="X31" i="8" s="1"/>
  <c r="AD30" i="8"/>
  <c r="V30" i="8"/>
  <c r="L30" i="8"/>
  <c r="W30" i="8" s="1"/>
  <c r="X30" i="8" s="1"/>
  <c r="AD29" i="8"/>
  <c r="V29" i="8"/>
  <c r="W29" i="8" s="1"/>
  <c r="X29" i="8" s="1"/>
  <c r="L29" i="8"/>
  <c r="AD28" i="8"/>
  <c r="V28" i="8"/>
  <c r="L28" i="8"/>
  <c r="AD27" i="8"/>
  <c r="V27" i="8"/>
  <c r="L27" i="8"/>
  <c r="W27" i="8" s="1"/>
  <c r="X27" i="8" s="1"/>
  <c r="AD26" i="8"/>
  <c r="V26" i="8"/>
  <c r="L26" i="8"/>
  <c r="AD25" i="8"/>
  <c r="V25" i="8"/>
  <c r="L25" i="8"/>
  <c r="AD24" i="8"/>
  <c r="V24" i="8"/>
  <c r="L24" i="8"/>
  <c r="AD23" i="8"/>
  <c r="V23" i="8"/>
  <c r="L23" i="8"/>
  <c r="W23" i="8" s="1"/>
  <c r="X23" i="8" s="1"/>
  <c r="AD22" i="8"/>
  <c r="V22" i="8"/>
  <c r="L22" i="8"/>
  <c r="AD21" i="8"/>
  <c r="V21" i="8"/>
  <c r="L21" i="8"/>
  <c r="AD20" i="8"/>
  <c r="V20" i="8"/>
  <c r="L20" i="8"/>
  <c r="AD19" i="8"/>
  <c r="V19" i="8"/>
  <c r="L19" i="8"/>
  <c r="W19" i="8" s="1"/>
  <c r="X19" i="8" s="1"/>
  <c r="AD18" i="8"/>
  <c r="V18" i="8"/>
  <c r="L18" i="8"/>
  <c r="AD17" i="8"/>
  <c r="V17" i="8"/>
  <c r="L17" i="8"/>
  <c r="AD16" i="8"/>
  <c r="V16" i="8"/>
  <c r="L16" i="8"/>
  <c r="AD15" i="8"/>
  <c r="V15" i="8"/>
  <c r="L15" i="8"/>
  <c r="W15" i="8" s="1"/>
  <c r="X15" i="8" s="1"/>
  <c r="AD14" i="8"/>
  <c r="V14" i="8"/>
  <c r="L14" i="8"/>
  <c r="AD13" i="8"/>
  <c r="V13" i="8"/>
  <c r="L13" i="8"/>
  <c r="AD12" i="8"/>
  <c r="V12" i="8"/>
  <c r="L12" i="8"/>
  <c r="AD11" i="8"/>
  <c r="V11" i="8"/>
  <c r="L11" i="8"/>
  <c r="W11" i="8" s="1"/>
  <c r="AD10" i="8"/>
  <c r="AD9" i="8"/>
  <c r="AD8" i="8"/>
  <c r="AD7" i="8"/>
  <c r="W36" i="8" s="1"/>
  <c r="X36" i="8" s="1"/>
  <c r="AD6" i="8"/>
  <c r="AD5" i="8"/>
  <c r="AD4" i="8"/>
  <c r="AD3" i="8"/>
  <c r="W20" i="8" s="1"/>
  <c r="X20" i="8" s="1"/>
  <c r="AD2" i="8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3" i="5"/>
  <c r="AD4" i="5"/>
  <c r="AD5" i="5"/>
  <c r="AD6" i="5"/>
  <c r="AD7" i="5"/>
  <c r="W11" i="5" s="1"/>
  <c r="AD2" i="5"/>
  <c r="W17" i="5"/>
  <c r="W32" i="5"/>
  <c r="W36" i="5"/>
  <c r="L30" i="5"/>
  <c r="W30" i="5" s="1"/>
  <c r="L60" i="1"/>
  <c r="J60" i="1"/>
  <c r="H60" i="1"/>
  <c r="F60" i="1"/>
  <c r="D60" i="1"/>
  <c r="B60" i="1"/>
  <c r="L59" i="1"/>
  <c r="J59" i="1"/>
  <c r="H59" i="1"/>
  <c r="F59" i="1"/>
  <c r="D59" i="1"/>
  <c r="B59" i="1"/>
  <c r="L58" i="1"/>
  <c r="J58" i="1"/>
  <c r="H58" i="1"/>
  <c r="F58" i="1"/>
  <c r="D58" i="1"/>
  <c r="B58" i="1"/>
  <c r="L57" i="1"/>
  <c r="J57" i="1"/>
  <c r="H57" i="1"/>
  <c r="F57" i="1"/>
  <c r="D57" i="1"/>
  <c r="B57" i="1"/>
  <c r="L56" i="1"/>
  <c r="J56" i="1"/>
  <c r="H56" i="1"/>
  <c r="F56" i="1"/>
  <c r="D56" i="1"/>
  <c r="B56" i="1"/>
  <c r="L55" i="1"/>
  <c r="J55" i="1"/>
  <c r="H55" i="1"/>
  <c r="F55" i="1"/>
  <c r="D55" i="1"/>
  <c r="B55" i="1"/>
  <c r="L54" i="1"/>
  <c r="J54" i="1"/>
  <c r="H54" i="1"/>
  <c r="F54" i="1"/>
  <c r="D54" i="1"/>
  <c r="B54" i="1"/>
  <c r="L53" i="1"/>
  <c r="J53" i="1"/>
  <c r="H53" i="1"/>
  <c r="F53" i="1"/>
  <c r="D53" i="1"/>
  <c r="B53" i="1"/>
  <c r="L52" i="1"/>
  <c r="J52" i="1"/>
  <c r="H52" i="1"/>
  <c r="F52" i="1"/>
  <c r="D52" i="1"/>
  <c r="B52" i="1"/>
  <c r="L51" i="1"/>
  <c r="J51" i="1"/>
  <c r="H51" i="1"/>
  <c r="F51" i="1"/>
  <c r="D51" i="1"/>
  <c r="B51" i="1"/>
  <c r="L50" i="1"/>
  <c r="J50" i="1"/>
  <c r="H50" i="1"/>
  <c r="F50" i="1"/>
  <c r="D50" i="1"/>
  <c r="B50" i="1"/>
  <c r="L49" i="1"/>
  <c r="J49" i="1"/>
  <c r="H49" i="1"/>
  <c r="F49" i="1"/>
  <c r="D49" i="1"/>
  <c r="B49" i="1"/>
  <c r="L48" i="1"/>
  <c r="J48" i="1"/>
  <c r="L47" i="1"/>
  <c r="J47" i="1"/>
  <c r="L46" i="1"/>
  <c r="J46" i="1"/>
  <c r="L45" i="1"/>
  <c r="J45" i="1"/>
  <c r="L44" i="1"/>
  <c r="J44" i="1"/>
  <c r="L43" i="1"/>
  <c r="J43" i="1"/>
  <c r="H48" i="1"/>
  <c r="F48" i="1"/>
  <c r="H47" i="1"/>
  <c r="F47" i="1"/>
  <c r="H46" i="1"/>
  <c r="F46" i="1"/>
  <c r="H45" i="1"/>
  <c r="F45" i="1"/>
  <c r="H44" i="1"/>
  <c r="F44" i="1"/>
  <c r="H43" i="1"/>
  <c r="F43" i="1"/>
  <c r="D48" i="1"/>
  <c r="B48" i="1"/>
  <c r="D47" i="1"/>
  <c r="B47" i="1"/>
  <c r="D46" i="1"/>
  <c r="B46" i="1"/>
  <c r="D45" i="1"/>
  <c r="B45" i="1"/>
  <c r="D44" i="1"/>
  <c r="B44" i="1"/>
  <c r="D43" i="1"/>
  <c r="B43" i="1"/>
  <c r="L42" i="1"/>
  <c r="J42" i="1"/>
  <c r="L41" i="1"/>
  <c r="J41" i="1"/>
  <c r="L40" i="1"/>
  <c r="J40" i="1"/>
  <c r="L39" i="1"/>
  <c r="J39" i="1"/>
  <c r="L38" i="1"/>
  <c r="J38" i="1"/>
  <c r="L37" i="1"/>
  <c r="J37" i="1"/>
  <c r="H42" i="1"/>
  <c r="F42" i="1"/>
  <c r="H41" i="1"/>
  <c r="F41" i="1"/>
  <c r="H40" i="1"/>
  <c r="F40" i="1"/>
  <c r="H39" i="1"/>
  <c r="F39" i="1"/>
  <c r="H38" i="1"/>
  <c r="F38" i="1"/>
  <c r="H37" i="1"/>
  <c r="F37" i="1"/>
  <c r="D42" i="1"/>
  <c r="B42" i="1"/>
  <c r="D41" i="1"/>
  <c r="B41" i="1"/>
  <c r="D40" i="1"/>
  <c r="B40" i="1"/>
  <c r="D39" i="1"/>
  <c r="B39" i="1"/>
  <c r="D38" i="1"/>
  <c r="B38" i="1"/>
  <c r="D37" i="1"/>
  <c r="B37" i="1"/>
  <c r="L36" i="1"/>
  <c r="J36" i="1"/>
  <c r="L35" i="1"/>
  <c r="J35" i="1"/>
  <c r="L34" i="1"/>
  <c r="J34" i="1"/>
  <c r="L33" i="1"/>
  <c r="J33" i="1"/>
  <c r="L32" i="1"/>
  <c r="J32" i="1"/>
  <c r="L31" i="1"/>
  <c r="J31" i="1"/>
  <c r="H36" i="1"/>
  <c r="F36" i="1"/>
  <c r="H35" i="1"/>
  <c r="F35" i="1"/>
  <c r="H34" i="1"/>
  <c r="F34" i="1"/>
  <c r="H33" i="1"/>
  <c r="F33" i="1"/>
  <c r="H32" i="1"/>
  <c r="F32" i="1"/>
  <c r="H31" i="1"/>
  <c r="F31" i="1"/>
  <c r="D36" i="1"/>
  <c r="B36" i="1"/>
  <c r="D35" i="1"/>
  <c r="B35" i="1"/>
  <c r="D34" i="1"/>
  <c r="B34" i="1"/>
  <c r="D33" i="1"/>
  <c r="B33" i="1"/>
  <c r="D32" i="1"/>
  <c r="B32" i="1"/>
  <c r="D31" i="1"/>
  <c r="B31" i="1"/>
  <c r="L30" i="1"/>
  <c r="J30" i="1"/>
  <c r="L29" i="1"/>
  <c r="J29" i="1"/>
  <c r="L28" i="1"/>
  <c r="J28" i="1"/>
  <c r="L27" i="1"/>
  <c r="J27" i="1"/>
  <c r="L26" i="1"/>
  <c r="J26" i="1"/>
  <c r="L25" i="1"/>
  <c r="J25" i="1"/>
  <c r="H30" i="1"/>
  <c r="F30" i="1"/>
  <c r="H29" i="1"/>
  <c r="F29" i="1"/>
  <c r="H28" i="1"/>
  <c r="F28" i="1"/>
  <c r="H27" i="1"/>
  <c r="F27" i="1"/>
  <c r="H26" i="1"/>
  <c r="F26" i="1"/>
  <c r="H25" i="1"/>
  <c r="F25" i="1"/>
  <c r="D30" i="1"/>
  <c r="B30" i="1"/>
  <c r="D29" i="1"/>
  <c r="B29" i="1"/>
  <c r="D28" i="1"/>
  <c r="B28" i="1"/>
  <c r="D27" i="1"/>
  <c r="B27" i="1"/>
  <c r="D26" i="1"/>
  <c r="B26" i="1"/>
  <c r="D25" i="1"/>
  <c r="B25" i="1"/>
  <c r="L24" i="1"/>
  <c r="J24" i="1"/>
  <c r="L23" i="1"/>
  <c r="J23" i="1"/>
  <c r="L22" i="1"/>
  <c r="J22" i="1"/>
  <c r="L21" i="1"/>
  <c r="J21" i="1"/>
  <c r="L20" i="1"/>
  <c r="J20" i="1"/>
  <c r="L19" i="1"/>
  <c r="J19" i="1"/>
  <c r="H24" i="1"/>
  <c r="F24" i="1"/>
  <c r="H23" i="1"/>
  <c r="F23" i="1"/>
  <c r="H22" i="1"/>
  <c r="F22" i="1"/>
  <c r="H21" i="1"/>
  <c r="F21" i="1"/>
  <c r="H20" i="1"/>
  <c r="F20" i="1"/>
  <c r="H19" i="1"/>
  <c r="F19" i="1"/>
  <c r="D24" i="1"/>
  <c r="B24" i="1"/>
  <c r="D23" i="1"/>
  <c r="B23" i="1"/>
  <c r="D22" i="1"/>
  <c r="B22" i="1"/>
  <c r="D21" i="1"/>
  <c r="B21" i="1"/>
  <c r="D20" i="1"/>
  <c r="B20" i="1"/>
  <c r="D19" i="1"/>
  <c r="B19" i="1"/>
  <c r="L18" i="1"/>
  <c r="J18" i="1"/>
  <c r="L17" i="1"/>
  <c r="J17" i="1"/>
  <c r="L16" i="1"/>
  <c r="J16" i="1"/>
  <c r="L15" i="1"/>
  <c r="J15" i="1"/>
  <c r="L14" i="1"/>
  <c r="J14" i="1"/>
  <c r="L13" i="1"/>
  <c r="J13" i="1"/>
  <c r="H18" i="1"/>
  <c r="F18" i="1"/>
  <c r="H17" i="1"/>
  <c r="F17" i="1"/>
  <c r="H16" i="1"/>
  <c r="F16" i="1"/>
  <c r="H15" i="1"/>
  <c r="F15" i="1"/>
  <c r="H14" i="1"/>
  <c r="F14" i="1"/>
  <c r="H13" i="1"/>
  <c r="F13" i="1"/>
  <c r="D18" i="1"/>
  <c r="B18" i="1"/>
  <c r="D17" i="1"/>
  <c r="B17" i="1"/>
  <c r="D16" i="1"/>
  <c r="B16" i="1"/>
  <c r="D15" i="1"/>
  <c r="B15" i="1"/>
  <c r="D14" i="1"/>
  <c r="B14" i="1"/>
  <c r="D13" i="1"/>
  <c r="B13" i="1"/>
  <c r="L12" i="1"/>
  <c r="J12" i="1"/>
  <c r="L11" i="1"/>
  <c r="J11" i="1"/>
  <c r="L10" i="1"/>
  <c r="J10" i="1"/>
  <c r="L9" i="1"/>
  <c r="J9" i="1"/>
  <c r="L8" i="1"/>
  <c r="J8" i="1"/>
  <c r="L7" i="1"/>
  <c r="J7" i="1"/>
  <c r="H12" i="1"/>
  <c r="F12" i="1"/>
  <c r="H11" i="1"/>
  <c r="F11" i="1"/>
  <c r="H10" i="1"/>
  <c r="F10" i="1"/>
  <c r="H9" i="1"/>
  <c r="F9" i="1"/>
  <c r="H8" i="1"/>
  <c r="F8" i="1"/>
  <c r="H7" i="1"/>
  <c r="F7" i="1"/>
  <c r="D12" i="1"/>
  <c r="B12" i="1"/>
  <c r="D11" i="1"/>
  <c r="B11" i="1"/>
  <c r="D10" i="1"/>
  <c r="B10" i="1"/>
  <c r="D9" i="1"/>
  <c r="B9" i="1"/>
  <c r="D8" i="1"/>
  <c r="B8" i="1"/>
  <c r="D7" i="1"/>
  <c r="B7" i="1"/>
  <c r="L6" i="1"/>
  <c r="J6" i="1"/>
  <c r="L5" i="1"/>
  <c r="J5" i="1"/>
  <c r="L4" i="1"/>
  <c r="J4" i="1"/>
  <c r="L3" i="1"/>
  <c r="J3" i="1"/>
  <c r="L2" i="1"/>
  <c r="J2" i="1"/>
  <c r="L1" i="1"/>
  <c r="J1" i="1"/>
  <c r="H6" i="1"/>
  <c r="F6" i="1"/>
  <c r="H5" i="1"/>
  <c r="F5" i="1"/>
  <c r="H4" i="1"/>
  <c r="F4" i="1"/>
  <c r="H3" i="1"/>
  <c r="F3" i="1"/>
  <c r="H2" i="1"/>
  <c r="F2" i="1"/>
  <c r="H1" i="1"/>
  <c r="F1" i="1"/>
  <c r="D6" i="1"/>
  <c r="D5" i="1"/>
  <c r="D4" i="1"/>
  <c r="D3" i="1"/>
  <c r="D2" i="1"/>
  <c r="D1" i="1"/>
  <c r="B6" i="1"/>
  <c r="B5" i="1"/>
  <c r="B4" i="1"/>
  <c r="B3" i="1"/>
  <c r="B2" i="1"/>
  <c r="B1" i="1"/>
  <c r="V60" i="5"/>
  <c r="L60" i="5"/>
  <c r="V59" i="5"/>
  <c r="L59" i="5"/>
  <c r="V58" i="5"/>
  <c r="L58" i="5"/>
  <c r="V57" i="5"/>
  <c r="L57" i="5"/>
  <c r="V56" i="5"/>
  <c r="L56" i="5"/>
  <c r="V55" i="5"/>
  <c r="L55" i="5"/>
  <c r="V54" i="5"/>
  <c r="L54" i="5"/>
  <c r="W54" i="5" s="1"/>
  <c r="X54" i="5" s="1"/>
  <c r="V53" i="5"/>
  <c r="L53" i="5"/>
  <c r="V52" i="5"/>
  <c r="L52" i="5"/>
  <c r="V51" i="5"/>
  <c r="L51" i="5"/>
  <c r="V50" i="5"/>
  <c r="L50" i="5"/>
  <c r="W50" i="5" s="1"/>
  <c r="V49" i="5"/>
  <c r="L49" i="5"/>
  <c r="V48" i="5"/>
  <c r="L48" i="5"/>
  <c r="W48" i="5" s="1"/>
  <c r="V47" i="5"/>
  <c r="L47" i="5"/>
  <c r="W47" i="5" s="1"/>
  <c r="V46" i="5"/>
  <c r="L46" i="5"/>
  <c r="W46" i="5" s="1"/>
  <c r="V45" i="5"/>
  <c r="L45" i="5"/>
  <c r="W45" i="5" s="1"/>
  <c r="V44" i="5"/>
  <c r="L44" i="5"/>
  <c r="W44" i="5" s="1"/>
  <c r="V43" i="5"/>
  <c r="L43" i="5"/>
  <c r="W43" i="5" s="1"/>
  <c r="V42" i="5"/>
  <c r="L42" i="5"/>
  <c r="V41" i="5"/>
  <c r="L41" i="5"/>
  <c r="W41" i="5" s="1"/>
  <c r="V40" i="5"/>
  <c r="L40" i="5"/>
  <c r="W40" i="5" s="1"/>
  <c r="V39" i="5"/>
  <c r="L39" i="5"/>
  <c r="W39" i="5" s="1"/>
  <c r="V38" i="5"/>
  <c r="L38" i="5"/>
  <c r="W38" i="5" s="1"/>
  <c r="V37" i="5"/>
  <c r="L37" i="5"/>
  <c r="W37" i="5" s="1"/>
  <c r="V36" i="5"/>
  <c r="L36" i="5"/>
  <c r="V35" i="5"/>
  <c r="L35" i="5"/>
  <c r="W35" i="5" s="1"/>
  <c r="V34" i="5"/>
  <c r="L34" i="5"/>
  <c r="V33" i="5"/>
  <c r="L33" i="5"/>
  <c r="W33" i="5" s="1"/>
  <c r="V32" i="5"/>
  <c r="L32" i="5"/>
  <c r="V31" i="5"/>
  <c r="L31" i="5"/>
  <c r="W31" i="5" s="1"/>
  <c r="V30" i="5"/>
  <c r="V29" i="5"/>
  <c r="L29" i="5"/>
  <c r="W29" i="5" s="1"/>
  <c r="V28" i="5"/>
  <c r="W28" i="5" s="1"/>
  <c r="L28" i="5"/>
  <c r="V27" i="5"/>
  <c r="L27" i="5"/>
  <c r="W27" i="5" s="1"/>
  <c r="V26" i="5"/>
  <c r="L26" i="5"/>
  <c r="W26" i="5" s="1"/>
  <c r="V25" i="5"/>
  <c r="L25" i="5"/>
  <c r="W25" i="5" s="1"/>
  <c r="V24" i="5"/>
  <c r="W24" i="5" s="1"/>
  <c r="X24" i="5" s="1"/>
  <c r="L24" i="5"/>
  <c r="V23" i="5"/>
  <c r="L23" i="5"/>
  <c r="W23" i="5" s="1"/>
  <c r="X23" i="5" s="1"/>
  <c r="V22" i="5"/>
  <c r="L22" i="5"/>
  <c r="W22" i="5" s="1"/>
  <c r="X22" i="5" s="1"/>
  <c r="V21" i="5"/>
  <c r="W21" i="5" s="1"/>
  <c r="X21" i="5" s="1"/>
  <c r="L21" i="5"/>
  <c r="V20" i="5"/>
  <c r="W20" i="5" s="1"/>
  <c r="X20" i="5" s="1"/>
  <c r="L20" i="5"/>
  <c r="V19" i="5"/>
  <c r="L19" i="5"/>
  <c r="W19" i="5" s="1"/>
  <c r="X19" i="5" s="1"/>
  <c r="V18" i="5"/>
  <c r="L18" i="5"/>
  <c r="W18" i="5" s="1"/>
  <c r="X18" i="5" s="1"/>
  <c r="X17" i="5"/>
  <c r="V17" i="5"/>
  <c r="L17" i="5"/>
  <c r="V16" i="5"/>
  <c r="W16" i="5" s="1"/>
  <c r="X16" i="5" s="1"/>
  <c r="L16" i="5"/>
  <c r="V15" i="5"/>
  <c r="L15" i="5"/>
  <c r="V14" i="5"/>
  <c r="W14" i="5" s="1"/>
  <c r="X14" i="5" s="1"/>
  <c r="L14" i="5"/>
  <c r="V13" i="5"/>
  <c r="D4" i="5" s="1"/>
  <c r="M4" i="5" s="1"/>
  <c r="L13" i="5"/>
  <c r="W13" i="5" s="1"/>
  <c r="X13" i="5" s="1"/>
  <c r="V12" i="5"/>
  <c r="L12" i="5"/>
  <c r="V11" i="5"/>
  <c r="L11" i="5"/>
  <c r="D5" i="5" s="1"/>
  <c r="M5" i="5" s="1"/>
  <c r="X11" i="16" l="1"/>
  <c r="D2" i="16" s="1"/>
  <c r="M1" i="16"/>
  <c r="D1" i="16"/>
  <c r="D4" i="14"/>
  <c r="M4" i="14" s="1"/>
  <c r="D6" i="14"/>
  <c r="M6" i="14" s="1"/>
  <c r="D5" i="14"/>
  <c r="M5" i="14" s="1"/>
  <c r="M1" i="14"/>
  <c r="D1" i="14"/>
  <c r="D3" i="14"/>
  <c r="M3" i="14" s="1"/>
  <c r="X11" i="14"/>
  <c r="D2" i="14" s="1"/>
  <c r="X11" i="5"/>
  <c r="X30" i="5"/>
  <c r="W15" i="5"/>
  <c r="X15" i="5" s="1"/>
  <c r="D3" i="5"/>
  <c r="M3" i="5" s="1"/>
  <c r="D6" i="5"/>
  <c r="M6" i="5" s="1"/>
  <c r="X34" i="5"/>
  <c r="W34" i="5"/>
  <c r="W60" i="8"/>
  <c r="X60" i="8" s="1"/>
  <c r="W13" i="8"/>
  <c r="X13" i="8" s="1"/>
  <c r="W17" i="8"/>
  <c r="X17" i="8" s="1"/>
  <c r="W14" i="13"/>
  <c r="X14" i="13" s="1"/>
  <c r="W13" i="13"/>
  <c r="X13" i="13" s="1"/>
  <c r="D5" i="13"/>
  <c r="M5" i="13" s="1"/>
  <c r="D4" i="13"/>
  <c r="M4" i="13" s="1"/>
  <c r="W17" i="13"/>
  <c r="X17" i="13" s="1"/>
  <c r="D3" i="13"/>
  <c r="M3" i="13" s="1"/>
  <c r="D6" i="13"/>
  <c r="M6" i="13" s="1"/>
  <c r="W11" i="13"/>
  <c r="W20" i="12"/>
  <c r="X20" i="12" s="1"/>
  <c r="W18" i="12"/>
  <c r="X18" i="12" s="1"/>
  <c r="W17" i="12"/>
  <c r="X17" i="12" s="1"/>
  <c r="W16" i="12"/>
  <c r="X16" i="12" s="1"/>
  <c r="W15" i="12"/>
  <c r="X15" i="12" s="1"/>
  <c r="W14" i="12"/>
  <c r="X14" i="12" s="1"/>
  <c r="W13" i="12"/>
  <c r="X13" i="12" s="1"/>
  <c r="W12" i="12"/>
  <c r="X12" i="12" s="1"/>
  <c r="D3" i="12"/>
  <c r="M3" i="12" s="1"/>
  <c r="W11" i="12"/>
  <c r="D4" i="12"/>
  <c r="M4" i="12" s="1"/>
  <c r="D6" i="12"/>
  <c r="M6" i="12" s="1"/>
  <c r="D5" i="12"/>
  <c r="M5" i="12" s="1"/>
  <c r="D4" i="10"/>
  <c r="M4" i="10" s="1"/>
  <c r="W11" i="10"/>
  <c r="D1" i="10" s="1"/>
  <c r="D5" i="10"/>
  <c r="M5" i="10" s="1"/>
  <c r="D2" i="10"/>
  <c r="M2" i="10" s="1"/>
  <c r="D6" i="10"/>
  <c r="M6" i="10" s="1"/>
  <c r="D3" i="10"/>
  <c r="M3" i="10" s="1"/>
  <c r="W12" i="9"/>
  <c r="X12" i="9" s="1"/>
  <c r="D5" i="9"/>
  <c r="M5" i="9" s="1"/>
  <c r="W14" i="9"/>
  <c r="X14" i="9" s="1"/>
  <c r="W45" i="8"/>
  <c r="X45" i="8" s="1"/>
  <c r="W49" i="8"/>
  <c r="X49" i="8" s="1"/>
  <c r="W53" i="8"/>
  <c r="X53" i="8" s="1"/>
  <c r="W57" i="8"/>
  <c r="X57" i="8" s="1"/>
  <c r="W28" i="8"/>
  <c r="X28" i="8" s="1"/>
  <c r="W12" i="8"/>
  <c r="X12" i="8" s="1"/>
  <c r="W24" i="8"/>
  <c r="X24" i="8" s="1"/>
  <c r="W14" i="8"/>
  <c r="X14" i="8" s="1"/>
  <c r="W18" i="8"/>
  <c r="X18" i="8" s="1"/>
  <c r="W22" i="8"/>
  <c r="X22" i="8" s="1"/>
  <c r="W26" i="8"/>
  <c r="X26" i="8" s="1"/>
  <c r="W25" i="8"/>
  <c r="X25" i="8" s="1"/>
  <c r="D3" i="8"/>
  <c r="M3" i="8" s="1"/>
  <c r="W21" i="8"/>
  <c r="X21" i="8" s="1"/>
  <c r="D6" i="8"/>
  <c r="M6" i="8" s="1"/>
  <c r="D5" i="8"/>
  <c r="M5" i="8" s="1"/>
  <c r="D4" i="8"/>
  <c r="M4" i="8" s="1"/>
  <c r="W19" i="9"/>
  <c r="X19" i="9" s="1"/>
  <c r="W15" i="9"/>
  <c r="X15" i="9" s="1"/>
  <c r="W20" i="9"/>
  <c r="X20" i="9" s="1"/>
  <c r="W35" i="9"/>
  <c r="X35" i="9" s="1"/>
  <c r="W39" i="9"/>
  <c r="X39" i="9" s="1"/>
  <c r="W43" i="9"/>
  <c r="X43" i="9" s="1"/>
  <c r="W48" i="9"/>
  <c r="X48" i="9" s="1"/>
  <c r="W11" i="9"/>
  <c r="X11" i="9" s="1"/>
  <c r="W16" i="9"/>
  <c r="X16" i="9" s="1"/>
  <c r="W31" i="9"/>
  <c r="X31" i="9" s="1"/>
  <c r="W36" i="9"/>
  <c r="X36" i="9" s="1"/>
  <c r="W40" i="9"/>
  <c r="X40" i="9" s="1"/>
  <c r="W44" i="9"/>
  <c r="X44" i="9" s="1"/>
  <c r="D6" i="9"/>
  <c r="M6" i="9" s="1"/>
  <c r="W27" i="9"/>
  <c r="X27" i="9" s="1"/>
  <c r="W34" i="9"/>
  <c r="X34" i="9" s="1"/>
  <c r="W51" i="9"/>
  <c r="X51" i="9" s="1"/>
  <c r="W55" i="9"/>
  <c r="X55" i="9" s="1"/>
  <c r="W59" i="9"/>
  <c r="X59" i="9" s="1"/>
  <c r="D3" i="9"/>
  <c r="M3" i="9" s="1"/>
  <c r="W28" i="9"/>
  <c r="X28" i="9" s="1"/>
  <c r="W30" i="9"/>
  <c r="X30" i="9" s="1"/>
  <c r="W47" i="9"/>
  <c r="X47" i="9" s="1"/>
  <c r="W52" i="9"/>
  <c r="X52" i="9" s="1"/>
  <c r="W56" i="9"/>
  <c r="X56" i="9" s="1"/>
  <c r="W60" i="9"/>
  <c r="X60" i="9" s="1"/>
  <c r="D4" i="9"/>
  <c r="M4" i="9" s="1"/>
  <c r="W42" i="5"/>
  <c r="X42" i="5" s="1"/>
  <c r="W26" i="9"/>
  <c r="X26" i="9" s="1"/>
  <c r="W58" i="9"/>
  <c r="X58" i="9" s="1"/>
  <c r="W13" i="9"/>
  <c r="X13" i="9" s="1"/>
  <c r="W17" i="9"/>
  <c r="X17" i="9" s="1"/>
  <c r="W21" i="9"/>
  <c r="X21" i="9" s="1"/>
  <c r="W25" i="9"/>
  <c r="X25" i="9" s="1"/>
  <c r="W29" i="9"/>
  <c r="X29" i="9" s="1"/>
  <c r="W33" i="9"/>
  <c r="X33" i="9" s="1"/>
  <c r="W37" i="9"/>
  <c r="X37" i="9" s="1"/>
  <c r="W41" i="9"/>
  <c r="X41" i="9" s="1"/>
  <c r="W49" i="9"/>
  <c r="X49" i="9" s="1"/>
  <c r="W53" i="9"/>
  <c r="X53" i="9" s="1"/>
  <c r="W57" i="9"/>
  <c r="X57" i="9" s="1"/>
  <c r="W42" i="9"/>
  <c r="X42" i="9" s="1"/>
  <c r="W54" i="9"/>
  <c r="X54" i="9" s="1"/>
  <c r="X11" i="8"/>
  <c r="W16" i="8"/>
  <c r="X16" i="8" s="1"/>
  <c r="W48" i="8"/>
  <c r="X48" i="8" s="1"/>
  <c r="W52" i="8"/>
  <c r="X52" i="8" s="1"/>
  <c r="W56" i="8"/>
  <c r="X56" i="8" s="1"/>
  <c r="W60" i="5"/>
  <c r="X60" i="5" s="1"/>
  <c r="W59" i="5"/>
  <c r="X59" i="5" s="1"/>
  <c r="W58" i="5"/>
  <c r="X58" i="5" s="1"/>
  <c r="W57" i="5"/>
  <c r="X57" i="5" s="1"/>
  <c r="W56" i="5"/>
  <c r="X56" i="5" s="1"/>
  <c r="W55" i="5"/>
  <c r="X55" i="5" s="1"/>
  <c r="W49" i="5"/>
  <c r="W53" i="5"/>
  <c r="X53" i="5" s="1"/>
  <c r="W52" i="5"/>
  <c r="X52" i="5" s="1"/>
  <c r="W51" i="5"/>
  <c r="X51" i="5" s="1"/>
  <c r="X33" i="5"/>
  <c r="W12" i="5"/>
  <c r="X12" i="5" s="1"/>
  <c r="X37" i="5"/>
  <c r="X50" i="5"/>
  <c r="X49" i="5"/>
  <c r="X48" i="5"/>
  <c r="X47" i="5"/>
  <c r="X46" i="5"/>
  <c r="X45" i="5"/>
  <c r="X44" i="5"/>
  <c r="X43" i="5"/>
  <c r="X41" i="5"/>
  <c r="X40" i="5"/>
  <c r="X39" i="5"/>
  <c r="X38" i="5"/>
  <c r="X36" i="5"/>
  <c r="X35" i="5"/>
  <c r="X32" i="5"/>
  <c r="X31" i="5"/>
  <c r="X29" i="5"/>
  <c r="X28" i="5"/>
  <c r="X27" i="5"/>
  <c r="X26" i="5"/>
  <c r="X25" i="5"/>
  <c r="D2" i="8" l="1"/>
  <c r="D2" i="5"/>
  <c r="D1" i="5"/>
  <c r="D2" i="9"/>
  <c r="M1" i="5"/>
  <c r="X11" i="13"/>
  <c r="D2" i="13" s="1"/>
  <c r="D1" i="13"/>
  <c r="M1" i="13"/>
  <c r="M1" i="12"/>
  <c r="D1" i="12"/>
  <c r="X11" i="12"/>
  <c r="D2" i="12" s="1"/>
  <c r="M1" i="10"/>
  <c r="X11" i="10"/>
  <c r="D1" i="8"/>
  <c r="M1" i="8"/>
  <c r="D1" i="9"/>
  <c r="M1" i="9"/>
</calcChain>
</file>

<file path=xl/sharedStrings.xml><?xml version="1.0" encoding="utf-8"?>
<sst xmlns="http://schemas.openxmlformats.org/spreadsheetml/2006/main" count="791" uniqueCount="44">
  <si>
    <t>CLUB / DISTANCE</t>
  </si>
  <si>
    <t>LOCATION</t>
  </si>
  <si>
    <t>BEST GAME:</t>
  </si>
  <si>
    <t>D:</t>
  </si>
  <si>
    <t>6:</t>
  </si>
  <si>
    <t>TOTAL EAGLES:</t>
  </si>
  <si>
    <t>PERCENT EAGLES:</t>
  </si>
  <si>
    <t>3W:</t>
  </si>
  <si>
    <t>7:</t>
  </si>
  <si>
    <t>Arcadian Shores</t>
  </si>
  <si>
    <t>TOTAL BIRDIES:</t>
  </si>
  <si>
    <t>PERCENT BIRDIES:</t>
  </si>
  <si>
    <t>5W:</t>
  </si>
  <si>
    <t>8:</t>
  </si>
  <si>
    <t>Pointe South</t>
  </si>
  <si>
    <t>TOTAL PARS:</t>
  </si>
  <si>
    <t>PERCENT PARS:</t>
  </si>
  <si>
    <t>3:</t>
  </si>
  <si>
    <t>9:</t>
  </si>
  <si>
    <t>Gordon Lakes</t>
  </si>
  <si>
    <t>TOTAL BOGEYS:</t>
  </si>
  <si>
    <t>PERCENT BOGEYS:</t>
  </si>
  <si>
    <t>4:</t>
  </si>
  <si>
    <t>P:</t>
  </si>
  <si>
    <t>Bartram Trail</t>
  </si>
  <si>
    <t>TOTAL DBL BOGEYS:</t>
  </si>
  <si>
    <t>PERCENT DBL BOGEY:</t>
  </si>
  <si>
    <t>5:</t>
  </si>
  <si>
    <t>S:</t>
  </si>
  <si>
    <t>DATE</t>
  </si>
  <si>
    <t>Out</t>
  </si>
  <si>
    <t>In</t>
  </si>
  <si>
    <t>Total</t>
  </si>
  <si>
    <t>HCP</t>
  </si>
  <si>
    <t>Honey Bee</t>
  </si>
  <si>
    <t>PAR</t>
  </si>
  <si>
    <t>ADJ</t>
  </si>
  <si>
    <t>LOCATIONS</t>
  </si>
  <si>
    <t>TOTAL HOLES PLAYED:</t>
  </si>
  <si>
    <t>AVERAGE SCORE:</t>
  </si>
  <si>
    <t>TOTAL GAMES:</t>
  </si>
  <si>
    <t>CRC</t>
  </si>
  <si>
    <t>MY HANDICAP:</t>
  </si>
  <si>
    <t>Zama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</si>
</sst>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1">
    <xf numFmtId="0" fontId="0" fillId="0" borderId="0"/>
    <xf numFmtId="164" fontId="1" fillId="3" borderId="0" applyNumberFormat="0" applyBorder="0" applyAlignment="0" applyProtection="0"/>
    <xf numFmtId="164" fontId="1" fillId="3" borderId="0" applyNumberFormat="0" applyBorder="0" applyAlignment="0" applyProtection="0"/>
    <xf numFmtId="164" fontId="1" fillId="5" borderId="0" applyNumberFormat="0" applyBorder="0" applyAlignment="0" applyProtection="0"/>
    <xf numFmtId="164" fontId="1" fillId="5" borderId="0" applyNumberFormat="0" applyBorder="0" applyAlignment="0" applyProtection="0"/>
    <xf numFmtId="164" fontId="1" fillId="7" borderId="0" applyNumberFormat="0" applyBorder="0" applyAlignment="0" applyProtection="0"/>
    <xf numFmtId="164" fontId="1" fillId="7" borderId="0" applyNumberFormat="0" applyBorder="0" applyAlignment="0" applyProtection="0"/>
    <xf numFmtId="164" fontId="1" fillId="9" borderId="0" applyNumberFormat="0" applyBorder="0" applyAlignment="0" applyProtection="0"/>
    <xf numFmtId="164" fontId="1" fillId="9" borderId="0" applyNumberFormat="0" applyBorder="0" applyAlignment="0" applyProtection="0"/>
    <xf numFmtId="164" fontId="1" fillId="11" borderId="0" applyNumberFormat="0" applyBorder="0" applyAlignment="0" applyProtection="0"/>
    <xf numFmtId="164" fontId="1" fillId="11" borderId="0" applyNumberFormat="0" applyBorder="0" applyAlignment="0" applyProtection="0"/>
    <xf numFmtId="164" fontId="1" fillId="13" borderId="0" applyNumberFormat="0" applyBorder="0" applyAlignment="0" applyProtection="0"/>
    <xf numFmtId="164" fontId="1" fillId="13" borderId="0" applyNumberFormat="0" applyBorder="0" applyAlignment="0" applyProtection="0"/>
    <xf numFmtId="164" fontId="1" fillId="4" borderId="0" applyNumberFormat="0" applyBorder="0" applyAlignment="0" applyProtection="0"/>
    <xf numFmtId="164" fontId="1" fillId="4" borderId="0" applyNumberFormat="0" applyBorder="0" applyAlignment="0" applyProtection="0"/>
    <xf numFmtId="164" fontId="1" fillId="6" borderId="0" applyNumberFormat="0" applyBorder="0" applyAlignment="0" applyProtection="0"/>
    <xf numFmtId="164" fontId="1" fillId="6" borderId="0" applyNumberFormat="0" applyBorder="0" applyAlignment="0" applyProtection="0"/>
    <xf numFmtId="164" fontId="1" fillId="8" borderId="0" applyNumberFormat="0" applyBorder="0" applyAlignment="0" applyProtection="0"/>
    <xf numFmtId="164" fontId="1" fillId="8" borderId="0" applyNumberFormat="0" applyBorder="0" applyAlignment="0" applyProtection="0"/>
    <xf numFmtId="164" fontId="1" fillId="10" borderId="0" applyNumberFormat="0" applyBorder="0" applyAlignment="0" applyProtection="0"/>
    <xf numFmtId="164" fontId="1" fillId="10" borderId="0" applyNumberFormat="0" applyBorder="0" applyAlignment="0" applyProtection="0"/>
    <xf numFmtId="164" fontId="1" fillId="12" borderId="0" applyNumberFormat="0" applyBorder="0" applyAlignment="0" applyProtection="0"/>
    <xf numFmtId="164" fontId="1" fillId="12" borderId="0" applyNumberFormat="0" applyBorder="0" applyAlignment="0" applyProtection="0"/>
    <xf numFmtId="164" fontId="1" fillId="14" borderId="0" applyNumberFormat="0" applyBorder="0" applyAlignment="0" applyProtection="0"/>
    <xf numFmtId="164" fontId="1" fillId="14" borderId="0" applyNumberFormat="0" applyBorder="0" applyAlignment="0" applyProtection="0"/>
    <xf numFmtId="164" fontId="5" fillId="0" borderId="0"/>
    <xf numFmtId="164" fontId="1" fillId="0" borderId="0"/>
    <xf numFmtId="0" fontId="1" fillId="0" borderId="0"/>
    <xf numFmtId="164" fontId="1" fillId="2" borderId="1" applyNumberFormat="0" applyFont="0" applyAlignment="0" applyProtection="0"/>
    <xf numFmtId="164" fontId="1" fillId="2" borderId="1" applyNumberFormat="0" applyFont="0" applyAlignment="0" applyProtection="0"/>
    <xf numFmtId="164" fontId="1" fillId="2" borderId="1" applyNumberFormat="0" applyFont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15" borderId="6" xfId="0" applyFill="1" applyBorder="1" applyAlignment="1" applyProtection="1">
      <alignment horizontal="left"/>
      <protection locked="0"/>
    </xf>
    <xf numFmtId="0" fontId="2" fillId="0" borderId="2" xfId="0" applyFont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5" fontId="0" fillId="0" borderId="10" xfId="0" applyNumberFormat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16" borderId="11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5" fontId="0" fillId="0" borderId="11" xfId="0" applyNumberForma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1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2" fontId="3" fillId="0" borderId="0" xfId="0" applyNumberFormat="1" applyFont="1" applyAlignment="1">
      <alignment horizontal="right"/>
    </xf>
    <xf numFmtId="2" fontId="3" fillId="0" borderId="0" xfId="0" applyNumberFormat="1" applyFont="1" applyAlignment="1"/>
    <xf numFmtId="2" fontId="0" fillId="0" borderId="0" xfId="0" applyNumberFormat="1"/>
    <xf numFmtId="2" fontId="3" fillId="0" borderId="0" xfId="0" applyNumberFormat="1" applyFont="1" applyAlignment="1">
      <alignment vertical="top"/>
    </xf>
    <xf numFmtId="2" fontId="2" fillId="0" borderId="0" xfId="0" applyNumberFormat="1" applyFont="1" applyAlignment="1"/>
    <xf numFmtId="2" fontId="4" fillId="0" borderId="0" xfId="0" applyNumberFormat="1" applyFont="1" applyAlignment="1"/>
    <xf numFmtId="2" fontId="4" fillId="0" borderId="0" xfId="0" applyNumberFormat="1" applyFont="1" applyBorder="1" applyAlignment="1">
      <alignment vertical="top"/>
    </xf>
    <xf numFmtId="2" fontId="3" fillId="0" borderId="0" xfId="0" applyNumberFormat="1" applyFont="1" applyAlignment="1">
      <alignment horizontal="right" vertical="top"/>
    </xf>
    <xf numFmtId="2" fontId="3" fillId="0" borderId="0" xfId="0" quotePrefix="1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2" fontId="0" fillId="0" borderId="0" xfId="0" applyNumberFormat="1" applyAlignment="1">
      <alignment vertical="top"/>
    </xf>
    <xf numFmtId="2" fontId="2" fillId="0" borderId="0" xfId="0" applyNumberFormat="1" applyFont="1" applyAlignment="1">
      <alignment vertical="top"/>
    </xf>
    <xf numFmtId="2" fontId="4" fillId="0" borderId="0" xfId="0" applyNumberFormat="1" applyFont="1" applyAlignment="1">
      <alignment vertical="top"/>
    </xf>
    <xf numFmtId="1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 vertical="top"/>
    </xf>
    <xf numFmtId="1" fontId="0" fillId="0" borderId="0" xfId="0" applyNumberFormat="1" applyFont="1" applyAlignment="1">
      <alignment horizontal="left"/>
    </xf>
    <xf numFmtId="1" fontId="4" fillId="0" borderId="0" xfId="0" applyNumberFormat="1" applyFont="1" applyBorder="1" applyAlignment="1">
      <alignment horizontal="left" vertical="top"/>
    </xf>
    <xf numFmtId="0" fontId="2" fillId="0" borderId="0" xfId="0" applyFont="1" applyBorder="1"/>
    <xf numFmtId="0" fontId="0" fillId="0" borderId="0" xfId="0" applyBorder="1"/>
    <xf numFmtId="0" fontId="0" fillId="0" borderId="0" xfId="0" applyFill="1" applyAlignment="1">
      <alignment horizontal="center"/>
    </xf>
    <xf numFmtId="0" fontId="2" fillId="0" borderId="0" xfId="0" quotePrefix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left"/>
      <protection locked="0"/>
    </xf>
    <xf numFmtId="0" fontId="2" fillId="0" borderId="2" xfId="0" applyFont="1" applyBorder="1" applyProtection="1"/>
    <xf numFmtId="0" fontId="0" fillId="0" borderId="2" xfId="0" applyBorder="1" applyProtection="1"/>
    <xf numFmtId="0" fontId="2" fillId="0" borderId="2" xfId="0" applyFont="1" applyBorder="1" applyAlignment="1" applyProtection="1">
      <alignment horizontal="center"/>
    </xf>
    <xf numFmtId="0" fontId="0" fillId="0" borderId="0" xfId="0" applyProtection="1"/>
    <xf numFmtId="15" fontId="0" fillId="0" borderId="3" xfId="0" applyNumberFormat="1" applyBorder="1" applyProtection="1">
      <protection locked="0"/>
    </xf>
    <xf numFmtId="0" fontId="2" fillId="15" borderId="4" xfId="0" applyFont="1" applyFill="1" applyBorder="1" applyAlignment="1">
      <alignment horizontal="right"/>
    </xf>
    <xf numFmtId="0" fontId="2" fillId="15" borderId="5" xfId="0" applyFont="1" applyFill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" fontId="0" fillId="0" borderId="5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2" fillId="15" borderId="4" xfId="0" quotePrefix="1" applyFont="1" applyFill="1" applyBorder="1" applyAlignment="1">
      <alignment horizontal="right"/>
    </xf>
    <xf numFmtId="0" fontId="0" fillId="15" borderId="5" xfId="0" applyFill="1" applyBorder="1" applyAlignment="1" applyProtection="1">
      <alignment horizontal="left"/>
      <protection locked="0"/>
    </xf>
    <xf numFmtId="9" fontId="0" fillId="0" borderId="5" xfId="0" applyNumberFormat="1" applyBorder="1" applyAlignment="1">
      <alignment horizontal="center"/>
    </xf>
    <xf numFmtId="9" fontId="0" fillId="0" borderId="6" xfId="0" applyNumberFormat="1" applyBorder="1" applyAlignment="1">
      <alignment horizontal="center"/>
    </xf>
    <xf numFmtId="20" fontId="2" fillId="15" borderId="4" xfId="0" quotePrefix="1" applyNumberFormat="1" applyFont="1" applyFill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</cellXfs>
  <cellStyles count="31">
    <cellStyle name="20% - Accent1 2" xfId="1" xr:uid="{00000000-0005-0000-0000-000000000000}"/>
    <cellStyle name="20% - Accent1 3" xfId="2" xr:uid="{00000000-0005-0000-0000-000001000000}"/>
    <cellStyle name="20% - Accent2 2" xfId="3" xr:uid="{00000000-0005-0000-0000-000002000000}"/>
    <cellStyle name="20% - Accent2 3" xfId="4" xr:uid="{00000000-0005-0000-0000-000003000000}"/>
    <cellStyle name="20% - Accent3 2" xfId="5" xr:uid="{00000000-0005-0000-0000-000004000000}"/>
    <cellStyle name="20% - Accent3 3" xfId="6" xr:uid="{00000000-0005-0000-0000-000005000000}"/>
    <cellStyle name="20% - Accent4 2" xfId="7" xr:uid="{00000000-0005-0000-0000-000006000000}"/>
    <cellStyle name="20% - Accent4 3" xfId="8" xr:uid="{00000000-0005-0000-0000-000007000000}"/>
    <cellStyle name="20% - Accent5 2" xfId="9" xr:uid="{00000000-0005-0000-0000-000008000000}"/>
    <cellStyle name="20% - Accent5 3" xfId="10" xr:uid="{00000000-0005-0000-0000-000009000000}"/>
    <cellStyle name="20% - Accent6 2" xfId="11" xr:uid="{00000000-0005-0000-0000-00000A000000}"/>
    <cellStyle name="20% - Accent6 3" xfId="12" xr:uid="{00000000-0005-0000-0000-00000B000000}"/>
    <cellStyle name="40% - Accent1 2" xfId="13" xr:uid="{00000000-0005-0000-0000-00000C000000}"/>
    <cellStyle name="40% - Accent1 3" xfId="14" xr:uid="{00000000-0005-0000-0000-00000D000000}"/>
    <cellStyle name="40% - Accent2 2" xfId="15" xr:uid="{00000000-0005-0000-0000-00000E000000}"/>
    <cellStyle name="40% - Accent2 3" xfId="16" xr:uid="{00000000-0005-0000-0000-00000F000000}"/>
    <cellStyle name="40% - Accent3 2" xfId="17" xr:uid="{00000000-0005-0000-0000-000010000000}"/>
    <cellStyle name="40% - Accent3 3" xfId="18" xr:uid="{00000000-0005-0000-0000-000011000000}"/>
    <cellStyle name="40% - Accent4 2" xfId="19" xr:uid="{00000000-0005-0000-0000-000012000000}"/>
    <cellStyle name="40% - Accent4 3" xfId="20" xr:uid="{00000000-0005-0000-0000-000013000000}"/>
    <cellStyle name="40% - Accent5 2" xfId="21" xr:uid="{00000000-0005-0000-0000-000014000000}"/>
    <cellStyle name="40% - Accent5 3" xfId="22" xr:uid="{00000000-0005-0000-0000-000015000000}"/>
    <cellStyle name="40% - Accent6 2" xfId="23" xr:uid="{00000000-0005-0000-0000-000016000000}"/>
    <cellStyle name="40% - Accent6 3" xfId="24" xr:uid="{00000000-0005-0000-0000-000017000000}"/>
    <cellStyle name="Normal" xfId="0" builtinId="0"/>
    <cellStyle name="Normal 2" xfId="25" xr:uid="{00000000-0005-0000-0000-000019000000}"/>
    <cellStyle name="Normal 3" xfId="26" xr:uid="{00000000-0005-0000-0000-00001A000000}"/>
    <cellStyle name="Normal 4" xfId="27" xr:uid="{00000000-0005-0000-0000-00001B000000}"/>
    <cellStyle name="Note 2" xfId="28" xr:uid="{00000000-0005-0000-0000-00001C000000}"/>
    <cellStyle name="Note 3" xfId="29" xr:uid="{00000000-0005-0000-0000-00001D000000}"/>
    <cellStyle name="Note 4" xfId="30" xr:uid="{00000000-0005-0000-0000-00001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60"/>
  <sheetViews>
    <sheetView workbookViewId="0">
      <selection activeCell="B9" sqref="B9"/>
    </sheetView>
  </sheetViews>
  <sheetFormatPr defaultRowHeight="15" x14ac:dyDescent="0.25"/>
  <cols>
    <col min="1" max="1" width="8.7109375" style="27" customWidth="1"/>
    <col min="2" max="2" width="8.7109375" style="33" customWidth="1"/>
    <col min="3" max="3" width="8.7109375" style="27" customWidth="1"/>
    <col min="4" max="4" width="8.7109375" style="33" customWidth="1"/>
    <col min="5" max="12" width="8.7109375" style="20" customWidth="1"/>
    <col min="13" max="18" width="8.85546875" style="20" customWidth="1"/>
    <col min="19" max="19" width="5.5703125" style="20" customWidth="1"/>
    <col min="20" max="20" width="1.42578125" style="20" customWidth="1"/>
    <col min="21" max="21" width="27.7109375" style="20" customWidth="1"/>
    <col min="22" max="22" width="5" style="20" customWidth="1"/>
    <col min="23" max="23" width="1.42578125" style="20" customWidth="1"/>
    <col min="24" max="24" width="29.140625" style="20" customWidth="1"/>
    <col min="25" max="25" width="5" style="20" customWidth="1"/>
    <col min="26" max="26" width="1.5703125" style="20" customWidth="1"/>
    <col min="27" max="27" width="23.85546875" style="20" customWidth="1"/>
    <col min="28" max="28" width="5.5703125" style="20" customWidth="1"/>
    <col min="29" max="29" width="1.42578125" style="20" customWidth="1"/>
    <col min="30" max="30" width="27.7109375" style="20" customWidth="1"/>
    <col min="31" max="31" width="5" style="20" customWidth="1"/>
    <col min="32" max="32" width="1.42578125" style="20" customWidth="1"/>
    <col min="33" max="33" width="29.140625" style="20" customWidth="1"/>
    <col min="34" max="34" width="5" style="20" customWidth="1"/>
    <col min="35" max="35" width="1.5703125" style="20" customWidth="1"/>
    <col min="36" max="36" width="23.85546875" style="20" customWidth="1"/>
    <col min="37" max="16384" width="9.140625" style="20"/>
  </cols>
  <sheetData>
    <row r="1" spans="1:36" ht="12" customHeight="1" x14ac:dyDescent="0.25">
      <c r="A1" s="26" t="s">
        <v>3</v>
      </c>
      <c r="B1" s="31">
        <f>'2011 (Whites)'!$R$2</f>
        <v>220</v>
      </c>
      <c r="C1" s="26" t="s">
        <v>4</v>
      </c>
      <c r="D1" s="31">
        <f>'2011 (Whites)'!$V$2</f>
        <v>150</v>
      </c>
      <c r="E1" s="26" t="s">
        <v>3</v>
      </c>
      <c r="F1" s="31">
        <f>'2011 (Whites)'!$R$2</f>
        <v>220</v>
      </c>
      <c r="G1" s="26" t="s">
        <v>4</v>
      </c>
      <c r="H1" s="31">
        <f>'2011 (Whites)'!$V$2</f>
        <v>150</v>
      </c>
      <c r="I1" s="26" t="s">
        <v>3</v>
      </c>
      <c r="J1" s="31">
        <f>'2011 (Whites)'!$R$2</f>
        <v>220</v>
      </c>
      <c r="K1" s="26" t="s">
        <v>4</v>
      </c>
      <c r="L1" s="31">
        <f>'2011 (Whites)'!$V$2</f>
        <v>150</v>
      </c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</row>
    <row r="2" spans="1:36" ht="12" customHeight="1" x14ac:dyDescent="0.25">
      <c r="A2" s="18" t="s">
        <v>7</v>
      </c>
      <c r="B2" s="31">
        <f>'2011 (Whites)'!$R$3</f>
        <v>200</v>
      </c>
      <c r="C2" s="18" t="s">
        <v>8</v>
      </c>
      <c r="D2" s="32">
        <f>'2011 (Whites)'!$V$3</f>
        <v>140</v>
      </c>
      <c r="E2" s="18" t="s">
        <v>7</v>
      </c>
      <c r="F2" s="31">
        <f>'2011 (Whites)'!$R$3</f>
        <v>200</v>
      </c>
      <c r="G2" s="18" t="s">
        <v>8</v>
      </c>
      <c r="H2" s="32">
        <f>'2011 (Whites)'!$V$3</f>
        <v>140</v>
      </c>
      <c r="I2" s="18" t="s">
        <v>7</v>
      </c>
      <c r="J2" s="31">
        <f>'2011 (Whites)'!$R$3</f>
        <v>200</v>
      </c>
      <c r="K2" s="18" t="s">
        <v>8</v>
      </c>
      <c r="L2" s="32">
        <f>'2011 (Whites)'!$V$3</f>
        <v>140</v>
      </c>
      <c r="M2" s="21"/>
      <c r="N2" s="22"/>
      <c r="O2" s="22"/>
      <c r="P2" s="21"/>
      <c r="Q2" s="22"/>
      <c r="R2" s="22"/>
      <c r="S2" s="21"/>
      <c r="T2" s="22"/>
      <c r="U2" s="22"/>
      <c r="V2" s="21"/>
      <c r="W2" s="22"/>
      <c r="X2" s="22"/>
      <c r="Y2" s="21"/>
      <c r="Z2" s="22"/>
      <c r="AA2" s="22"/>
      <c r="AB2" s="21"/>
      <c r="AC2" s="22"/>
      <c r="AD2" s="22"/>
      <c r="AE2" s="21"/>
      <c r="AF2" s="22"/>
      <c r="AG2" s="22"/>
      <c r="AH2" s="21"/>
      <c r="AI2" s="22"/>
      <c r="AJ2" s="22"/>
    </row>
    <row r="3" spans="1:36" ht="12" customHeight="1" x14ac:dyDescent="0.25">
      <c r="A3" s="18" t="s">
        <v>12</v>
      </c>
      <c r="B3" s="31">
        <f>'2011 (Whites)'!$R$4</f>
        <v>190</v>
      </c>
      <c r="C3" s="18" t="s">
        <v>13</v>
      </c>
      <c r="D3" s="31">
        <f>'2011 (Whites)'!$V$4</f>
        <v>130</v>
      </c>
      <c r="E3" s="18" t="s">
        <v>12</v>
      </c>
      <c r="F3" s="31">
        <f>'2011 (Whites)'!$R$4</f>
        <v>190</v>
      </c>
      <c r="G3" s="18" t="s">
        <v>13</v>
      </c>
      <c r="H3" s="31">
        <f>'2011 (Whites)'!$V$4</f>
        <v>130</v>
      </c>
      <c r="I3" s="18" t="s">
        <v>12</v>
      </c>
      <c r="J3" s="31">
        <f>'2011 (Whites)'!$R$4</f>
        <v>190</v>
      </c>
      <c r="K3" s="18" t="s">
        <v>13</v>
      </c>
      <c r="L3" s="31">
        <f>'2011 (Whites)'!$V$4</f>
        <v>130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</row>
    <row r="4" spans="1:36" ht="12" customHeight="1" x14ac:dyDescent="0.25">
      <c r="A4" s="18" t="s">
        <v>17</v>
      </c>
      <c r="B4" s="31">
        <f>'2011 (Whites)'!$R$5</f>
        <v>180</v>
      </c>
      <c r="C4" s="18" t="s">
        <v>18</v>
      </c>
      <c r="D4" s="31">
        <f>'2011 (Whites)'!$V$5</f>
        <v>120</v>
      </c>
      <c r="E4" s="18" t="s">
        <v>17</v>
      </c>
      <c r="F4" s="31">
        <f>'2011 (Whites)'!$R$5</f>
        <v>180</v>
      </c>
      <c r="G4" s="18" t="s">
        <v>18</v>
      </c>
      <c r="H4" s="31">
        <f>'2011 (Whites)'!$V$5</f>
        <v>120</v>
      </c>
      <c r="I4" s="18" t="s">
        <v>17</v>
      </c>
      <c r="J4" s="31">
        <f>'2011 (Whites)'!$R$5</f>
        <v>180</v>
      </c>
      <c r="K4" s="18" t="s">
        <v>18</v>
      </c>
      <c r="L4" s="31">
        <f>'2011 (Whites)'!$V$5</f>
        <v>120</v>
      </c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</row>
    <row r="5" spans="1:36" ht="12" customHeight="1" x14ac:dyDescent="0.25">
      <c r="A5" s="18" t="s">
        <v>22</v>
      </c>
      <c r="B5" s="31">
        <f>'2011 (Whites)'!$R$6</f>
        <v>170</v>
      </c>
      <c r="C5" s="18" t="s">
        <v>23</v>
      </c>
      <c r="D5" s="34">
        <f>'2011 (Whites)'!$V$6</f>
        <v>110</v>
      </c>
      <c r="E5" s="18" t="s">
        <v>22</v>
      </c>
      <c r="F5" s="31">
        <f>'2011 (Whites)'!$R$6</f>
        <v>170</v>
      </c>
      <c r="G5" s="18" t="s">
        <v>23</v>
      </c>
      <c r="H5" s="34">
        <f>'2011 (Whites)'!$V$6</f>
        <v>110</v>
      </c>
      <c r="I5" s="18" t="s">
        <v>22</v>
      </c>
      <c r="J5" s="31">
        <f>'2011 (Whites)'!$R$6</f>
        <v>170</v>
      </c>
      <c r="K5" s="18" t="s">
        <v>23</v>
      </c>
      <c r="L5" s="34">
        <f>'2011 (Whites)'!$V$6</f>
        <v>110</v>
      </c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</row>
    <row r="6" spans="1:36" s="28" customFormat="1" ht="18" customHeight="1" x14ac:dyDescent="0.25">
      <c r="A6" s="25" t="s">
        <v>27</v>
      </c>
      <c r="B6" s="32">
        <f>'2011 (Whites)'!$R$7</f>
        <v>160</v>
      </c>
      <c r="C6" s="25" t="s">
        <v>28</v>
      </c>
      <c r="D6" s="32">
        <f>'2011 (Whites)'!$V$7</f>
        <v>100</v>
      </c>
      <c r="E6" s="25" t="s">
        <v>27</v>
      </c>
      <c r="F6" s="32">
        <f>'2011 (Whites)'!$R$7</f>
        <v>160</v>
      </c>
      <c r="G6" s="25" t="s">
        <v>28</v>
      </c>
      <c r="H6" s="32">
        <f>'2011 (Whites)'!$V$7</f>
        <v>100</v>
      </c>
      <c r="I6" s="25" t="s">
        <v>27</v>
      </c>
      <c r="J6" s="32">
        <f>'2011 (Whites)'!$R$7</f>
        <v>160</v>
      </c>
      <c r="K6" s="25" t="s">
        <v>28</v>
      </c>
      <c r="L6" s="32">
        <f>'2011 (Whites)'!$V$7</f>
        <v>100</v>
      </c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</row>
    <row r="7" spans="1:36" ht="12" customHeight="1" x14ac:dyDescent="0.25">
      <c r="A7" s="26" t="s">
        <v>3</v>
      </c>
      <c r="B7" s="31">
        <f>'2011 (Whites)'!$R$2</f>
        <v>220</v>
      </c>
      <c r="C7" s="26" t="s">
        <v>4</v>
      </c>
      <c r="D7" s="31">
        <f>'2011 (Whites)'!$V$2</f>
        <v>150</v>
      </c>
      <c r="E7" s="26" t="s">
        <v>3</v>
      </c>
      <c r="F7" s="31">
        <f>'2011 (Whites)'!$R$2</f>
        <v>220</v>
      </c>
      <c r="G7" s="26" t="s">
        <v>4</v>
      </c>
      <c r="H7" s="31">
        <f>'2011 (Whites)'!$V$2</f>
        <v>150</v>
      </c>
      <c r="I7" s="26" t="s">
        <v>3</v>
      </c>
      <c r="J7" s="31">
        <f>'2011 (Whites)'!$R$2</f>
        <v>220</v>
      </c>
      <c r="K7" s="26" t="s">
        <v>4</v>
      </c>
      <c r="L7" s="31">
        <f>'2011 (Whites)'!$V$2</f>
        <v>150</v>
      </c>
      <c r="M7" s="21"/>
      <c r="N7" s="22"/>
      <c r="O7" s="22"/>
      <c r="P7" s="21"/>
      <c r="Q7" s="22"/>
      <c r="R7" s="22"/>
      <c r="S7" s="21"/>
      <c r="T7" s="22"/>
      <c r="U7" s="22"/>
      <c r="V7" s="21"/>
      <c r="W7" s="22"/>
      <c r="X7" s="22"/>
      <c r="Y7" s="21"/>
      <c r="Z7" s="22"/>
      <c r="AA7" s="22"/>
      <c r="AB7" s="21"/>
      <c r="AC7" s="22"/>
      <c r="AD7" s="22"/>
      <c r="AE7" s="21"/>
      <c r="AF7" s="22"/>
      <c r="AG7" s="22"/>
      <c r="AH7" s="21"/>
      <c r="AI7" s="22"/>
      <c r="AJ7" s="22"/>
    </row>
    <row r="8" spans="1:36" ht="12" customHeight="1" x14ac:dyDescent="0.25">
      <c r="A8" s="18" t="s">
        <v>7</v>
      </c>
      <c r="B8" s="31">
        <f>'2011 (Whites)'!$R$3</f>
        <v>200</v>
      </c>
      <c r="C8" s="18" t="s">
        <v>8</v>
      </c>
      <c r="D8" s="32">
        <f>'2011 (Whites)'!$V$3</f>
        <v>140</v>
      </c>
      <c r="E8" s="18" t="s">
        <v>7</v>
      </c>
      <c r="F8" s="31">
        <f>'2011 (Whites)'!$R$3</f>
        <v>200</v>
      </c>
      <c r="G8" s="18" t="s">
        <v>8</v>
      </c>
      <c r="H8" s="32">
        <f>'2011 (Whites)'!$V$3</f>
        <v>140</v>
      </c>
      <c r="I8" s="18" t="s">
        <v>7</v>
      </c>
      <c r="J8" s="31">
        <f>'2011 (Whites)'!$R$3</f>
        <v>200</v>
      </c>
      <c r="K8" s="18" t="s">
        <v>8</v>
      </c>
      <c r="L8" s="32">
        <f>'2011 (Whites)'!$V$3</f>
        <v>140</v>
      </c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</row>
    <row r="9" spans="1:36" ht="12" customHeight="1" x14ac:dyDescent="0.25">
      <c r="A9" s="18" t="s">
        <v>12</v>
      </c>
      <c r="B9" s="31">
        <f>'2011 (Whites)'!$R$4</f>
        <v>190</v>
      </c>
      <c r="C9" s="18" t="s">
        <v>13</v>
      </c>
      <c r="D9" s="31">
        <f>'2011 (Whites)'!$V$4</f>
        <v>130</v>
      </c>
      <c r="E9" s="18" t="s">
        <v>12</v>
      </c>
      <c r="F9" s="31">
        <f>'2011 (Whites)'!$R$4</f>
        <v>190</v>
      </c>
      <c r="G9" s="18" t="s">
        <v>13</v>
      </c>
      <c r="H9" s="31">
        <f>'2011 (Whites)'!$V$4</f>
        <v>130</v>
      </c>
      <c r="I9" s="18" t="s">
        <v>12</v>
      </c>
      <c r="J9" s="31">
        <f>'2011 (Whites)'!$R$4</f>
        <v>190</v>
      </c>
      <c r="K9" s="18" t="s">
        <v>13</v>
      </c>
      <c r="L9" s="31">
        <f>'2011 (Whites)'!$V$4</f>
        <v>130</v>
      </c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</row>
    <row r="10" spans="1:36" ht="12" customHeight="1" x14ac:dyDescent="0.25">
      <c r="A10" s="18" t="s">
        <v>17</v>
      </c>
      <c r="B10" s="31">
        <f>'2011 (Whites)'!$R$5</f>
        <v>180</v>
      </c>
      <c r="C10" s="18" t="s">
        <v>18</v>
      </c>
      <c r="D10" s="31">
        <f>'2011 (Whites)'!$V$5</f>
        <v>120</v>
      </c>
      <c r="E10" s="18" t="s">
        <v>17</v>
      </c>
      <c r="F10" s="31">
        <f>'2011 (Whites)'!$R$5</f>
        <v>180</v>
      </c>
      <c r="G10" s="18" t="s">
        <v>18</v>
      </c>
      <c r="H10" s="31">
        <f>'2011 (Whites)'!$V$5</f>
        <v>120</v>
      </c>
      <c r="I10" s="18" t="s">
        <v>17</v>
      </c>
      <c r="J10" s="31">
        <f>'2011 (Whites)'!$R$5</f>
        <v>180</v>
      </c>
      <c r="K10" s="18" t="s">
        <v>18</v>
      </c>
      <c r="L10" s="31">
        <f>'2011 (Whites)'!$V$5</f>
        <v>120</v>
      </c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</row>
    <row r="11" spans="1:36" ht="12" customHeight="1" x14ac:dyDescent="0.25">
      <c r="A11" s="18" t="s">
        <v>22</v>
      </c>
      <c r="B11" s="31">
        <f>'2011 (Whites)'!$R$6</f>
        <v>170</v>
      </c>
      <c r="C11" s="18" t="s">
        <v>23</v>
      </c>
      <c r="D11" s="34">
        <f>'2011 (Whites)'!$V$6</f>
        <v>110</v>
      </c>
      <c r="E11" s="18" t="s">
        <v>22</v>
      </c>
      <c r="F11" s="31">
        <f>'2011 (Whites)'!$R$6</f>
        <v>170</v>
      </c>
      <c r="G11" s="18" t="s">
        <v>23</v>
      </c>
      <c r="H11" s="34">
        <f>'2011 (Whites)'!$V$6</f>
        <v>110</v>
      </c>
      <c r="I11" s="18" t="s">
        <v>22</v>
      </c>
      <c r="J11" s="31">
        <f>'2011 (Whites)'!$R$6</f>
        <v>170</v>
      </c>
      <c r="K11" s="18" t="s">
        <v>23</v>
      </c>
      <c r="L11" s="34">
        <f>'2011 (Whites)'!$V$6</f>
        <v>110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</row>
    <row r="12" spans="1:36" s="28" customFormat="1" ht="18" customHeight="1" x14ac:dyDescent="0.25">
      <c r="A12" s="25" t="s">
        <v>27</v>
      </c>
      <c r="B12" s="32">
        <f>'2011 (Whites)'!$R$7</f>
        <v>160</v>
      </c>
      <c r="C12" s="25" t="s">
        <v>28</v>
      </c>
      <c r="D12" s="32">
        <f>'2011 (Whites)'!$V$7</f>
        <v>100</v>
      </c>
      <c r="E12" s="25" t="s">
        <v>27</v>
      </c>
      <c r="F12" s="32">
        <f>'2011 (Whites)'!$R$7</f>
        <v>160</v>
      </c>
      <c r="G12" s="25" t="s">
        <v>28</v>
      </c>
      <c r="H12" s="32">
        <f>'2011 (Whites)'!$V$7</f>
        <v>100</v>
      </c>
      <c r="I12" s="25" t="s">
        <v>27</v>
      </c>
      <c r="J12" s="32">
        <f>'2011 (Whites)'!$R$7</f>
        <v>160</v>
      </c>
      <c r="K12" s="25" t="s">
        <v>28</v>
      </c>
      <c r="L12" s="32">
        <f>'2011 (Whites)'!$V$7</f>
        <v>100</v>
      </c>
      <c r="M12" s="21"/>
      <c r="N12" s="29"/>
      <c r="O12" s="29"/>
      <c r="P12" s="21"/>
      <c r="Q12" s="29"/>
      <c r="R12" s="29"/>
      <c r="S12" s="21"/>
      <c r="T12" s="29"/>
      <c r="U12" s="29"/>
      <c r="V12" s="21"/>
      <c r="W12" s="29"/>
      <c r="X12" s="29"/>
      <c r="Y12" s="21"/>
      <c r="Z12" s="29"/>
      <c r="AA12" s="29"/>
      <c r="AB12" s="21"/>
      <c r="AC12" s="29"/>
      <c r="AD12" s="29"/>
      <c r="AE12" s="21"/>
      <c r="AF12" s="29"/>
      <c r="AG12" s="29"/>
      <c r="AH12" s="21"/>
      <c r="AI12" s="29"/>
      <c r="AJ12" s="29"/>
    </row>
    <row r="13" spans="1:36" ht="12" customHeight="1" x14ac:dyDescent="0.25">
      <c r="A13" s="26" t="s">
        <v>3</v>
      </c>
      <c r="B13" s="31">
        <f>'2011 (Whites)'!$R$2</f>
        <v>220</v>
      </c>
      <c r="C13" s="26" t="s">
        <v>4</v>
      </c>
      <c r="D13" s="31">
        <f>'2011 (Whites)'!$V$2</f>
        <v>150</v>
      </c>
      <c r="E13" s="26" t="s">
        <v>3</v>
      </c>
      <c r="F13" s="31">
        <f>'2011 (Whites)'!$R$2</f>
        <v>220</v>
      </c>
      <c r="G13" s="26" t="s">
        <v>4</v>
      </c>
      <c r="H13" s="31">
        <f>'2011 (Whites)'!$V$2</f>
        <v>150</v>
      </c>
      <c r="I13" s="26" t="s">
        <v>3</v>
      </c>
      <c r="J13" s="31">
        <f>'2011 (Whites)'!$R$2</f>
        <v>220</v>
      </c>
      <c r="K13" s="26" t="s">
        <v>4</v>
      </c>
      <c r="L13" s="31">
        <f>'2011 (Whites)'!$V$2</f>
        <v>150</v>
      </c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</row>
    <row r="14" spans="1:36" ht="12" customHeight="1" x14ac:dyDescent="0.25">
      <c r="A14" s="18" t="s">
        <v>7</v>
      </c>
      <c r="B14" s="31">
        <f>'2011 (Whites)'!$R$3</f>
        <v>200</v>
      </c>
      <c r="C14" s="18" t="s">
        <v>8</v>
      </c>
      <c r="D14" s="32">
        <f>'2011 (Whites)'!$V$3</f>
        <v>140</v>
      </c>
      <c r="E14" s="18" t="s">
        <v>7</v>
      </c>
      <c r="F14" s="31">
        <f>'2011 (Whites)'!$R$3</f>
        <v>200</v>
      </c>
      <c r="G14" s="18" t="s">
        <v>8</v>
      </c>
      <c r="H14" s="32">
        <f>'2011 (Whites)'!$V$3</f>
        <v>140</v>
      </c>
      <c r="I14" s="18" t="s">
        <v>7</v>
      </c>
      <c r="J14" s="31">
        <f>'2011 (Whites)'!$R$3</f>
        <v>200</v>
      </c>
      <c r="K14" s="18" t="s">
        <v>8</v>
      </c>
      <c r="L14" s="32">
        <f>'2011 (Whites)'!$V$3</f>
        <v>140</v>
      </c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</row>
    <row r="15" spans="1:36" ht="12" customHeight="1" x14ac:dyDescent="0.25">
      <c r="A15" s="18" t="s">
        <v>12</v>
      </c>
      <c r="B15" s="31">
        <f>'2011 (Whites)'!$R$4</f>
        <v>190</v>
      </c>
      <c r="C15" s="18" t="s">
        <v>13</v>
      </c>
      <c r="D15" s="31">
        <f>'2011 (Whites)'!$V$4</f>
        <v>130</v>
      </c>
      <c r="E15" s="18" t="s">
        <v>12</v>
      </c>
      <c r="F15" s="31">
        <f>'2011 (Whites)'!$R$4</f>
        <v>190</v>
      </c>
      <c r="G15" s="18" t="s">
        <v>13</v>
      </c>
      <c r="H15" s="31">
        <f>'2011 (Whites)'!$V$4</f>
        <v>130</v>
      </c>
      <c r="I15" s="18" t="s">
        <v>12</v>
      </c>
      <c r="J15" s="31">
        <f>'2011 (Whites)'!$R$4</f>
        <v>190</v>
      </c>
      <c r="K15" s="18" t="s">
        <v>13</v>
      </c>
      <c r="L15" s="31">
        <f>'2011 (Whites)'!$V$4</f>
        <v>130</v>
      </c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</row>
    <row r="16" spans="1:36" ht="12" customHeight="1" x14ac:dyDescent="0.25">
      <c r="A16" s="18" t="s">
        <v>17</v>
      </c>
      <c r="B16" s="31">
        <f>'2011 (Whites)'!$R$5</f>
        <v>180</v>
      </c>
      <c r="C16" s="18" t="s">
        <v>18</v>
      </c>
      <c r="D16" s="31">
        <f>'2011 (Whites)'!$V$5</f>
        <v>120</v>
      </c>
      <c r="E16" s="18" t="s">
        <v>17</v>
      </c>
      <c r="F16" s="31">
        <f>'2011 (Whites)'!$R$5</f>
        <v>180</v>
      </c>
      <c r="G16" s="18" t="s">
        <v>18</v>
      </c>
      <c r="H16" s="31">
        <f>'2011 (Whites)'!$V$5</f>
        <v>120</v>
      </c>
      <c r="I16" s="18" t="s">
        <v>17</v>
      </c>
      <c r="J16" s="31">
        <f>'2011 (Whites)'!$R$5</f>
        <v>180</v>
      </c>
      <c r="K16" s="18" t="s">
        <v>18</v>
      </c>
      <c r="L16" s="31">
        <f>'2011 (Whites)'!$V$5</f>
        <v>120</v>
      </c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</row>
    <row r="17" spans="1:36" ht="12" customHeight="1" x14ac:dyDescent="0.25">
      <c r="A17" s="18" t="s">
        <v>22</v>
      </c>
      <c r="B17" s="31">
        <f>'2011 (Whites)'!$R$6</f>
        <v>170</v>
      </c>
      <c r="C17" s="18" t="s">
        <v>23</v>
      </c>
      <c r="D17" s="34">
        <f>'2011 (Whites)'!$V$6</f>
        <v>110</v>
      </c>
      <c r="E17" s="18" t="s">
        <v>22</v>
      </c>
      <c r="F17" s="31">
        <f>'2011 (Whites)'!$R$6</f>
        <v>170</v>
      </c>
      <c r="G17" s="18" t="s">
        <v>23</v>
      </c>
      <c r="H17" s="34">
        <f>'2011 (Whites)'!$V$6</f>
        <v>110</v>
      </c>
      <c r="I17" s="18" t="s">
        <v>22</v>
      </c>
      <c r="J17" s="31">
        <f>'2011 (Whites)'!$R$6</f>
        <v>170</v>
      </c>
      <c r="K17" s="18" t="s">
        <v>23</v>
      </c>
      <c r="L17" s="34">
        <f>'2011 (Whites)'!$V$6</f>
        <v>110</v>
      </c>
      <c r="M17" s="21"/>
      <c r="N17" s="22"/>
      <c r="O17" s="22"/>
      <c r="P17" s="21"/>
      <c r="Q17" s="22"/>
      <c r="R17" s="22"/>
      <c r="S17" s="21"/>
      <c r="T17" s="22"/>
      <c r="U17" s="22"/>
      <c r="V17" s="21"/>
      <c r="W17" s="22"/>
      <c r="X17" s="22"/>
      <c r="Y17" s="21"/>
      <c r="Z17" s="22"/>
      <c r="AA17" s="22"/>
      <c r="AB17" s="21"/>
      <c r="AC17" s="22"/>
      <c r="AD17" s="22"/>
      <c r="AE17" s="21"/>
      <c r="AF17" s="22"/>
      <c r="AG17" s="22"/>
      <c r="AH17" s="21"/>
      <c r="AI17" s="22"/>
      <c r="AJ17" s="22"/>
    </row>
    <row r="18" spans="1:36" s="28" customFormat="1" ht="18" customHeight="1" x14ac:dyDescent="0.25">
      <c r="A18" s="25" t="s">
        <v>27</v>
      </c>
      <c r="B18" s="32">
        <f>'2011 (Whites)'!$R$7</f>
        <v>160</v>
      </c>
      <c r="C18" s="25" t="s">
        <v>28</v>
      </c>
      <c r="D18" s="32">
        <f>'2011 (Whites)'!$V$7</f>
        <v>100</v>
      </c>
      <c r="E18" s="25" t="s">
        <v>27</v>
      </c>
      <c r="F18" s="32">
        <f>'2011 (Whites)'!$R$7</f>
        <v>160</v>
      </c>
      <c r="G18" s="25" t="s">
        <v>28</v>
      </c>
      <c r="H18" s="32">
        <f>'2011 (Whites)'!$V$7</f>
        <v>100</v>
      </c>
      <c r="I18" s="25" t="s">
        <v>27</v>
      </c>
      <c r="J18" s="32">
        <f>'2011 (Whites)'!$R$7</f>
        <v>160</v>
      </c>
      <c r="K18" s="25" t="s">
        <v>28</v>
      </c>
      <c r="L18" s="32">
        <f>'2011 (Whites)'!$V$7</f>
        <v>100</v>
      </c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</row>
    <row r="19" spans="1:36" ht="12" customHeight="1" x14ac:dyDescent="0.25">
      <c r="A19" s="26" t="s">
        <v>3</v>
      </c>
      <c r="B19" s="31">
        <f>'2011 (Whites)'!$R$2</f>
        <v>220</v>
      </c>
      <c r="C19" s="26" t="s">
        <v>4</v>
      </c>
      <c r="D19" s="31">
        <f>'2011 (Whites)'!$V$2</f>
        <v>150</v>
      </c>
      <c r="E19" s="26" t="s">
        <v>3</v>
      </c>
      <c r="F19" s="31">
        <f>'2011 (Whites)'!$R$2</f>
        <v>220</v>
      </c>
      <c r="G19" s="26" t="s">
        <v>4</v>
      </c>
      <c r="H19" s="31">
        <f>'2011 (Whites)'!$V$2</f>
        <v>150</v>
      </c>
      <c r="I19" s="26" t="s">
        <v>3</v>
      </c>
      <c r="J19" s="31">
        <f>'2011 (Whites)'!$R$2</f>
        <v>220</v>
      </c>
      <c r="K19" s="26" t="s">
        <v>4</v>
      </c>
      <c r="L19" s="31">
        <f>'2011 (Whites)'!$V$2</f>
        <v>150</v>
      </c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</row>
    <row r="20" spans="1:36" ht="12" customHeight="1" x14ac:dyDescent="0.25">
      <c r="A20" s="18" t="s">
        <v>7</v>
      </c>
      <c r="B20" s="31">
        <f>'2011 (Whites)'!$R$3</f>
        <v>200</v>
      </c>
      <c r="C20" s="18" t="s">
        <v>8</v>
      </c>
      <c r="D20" s="32">
        <f>'2011 (Whites)'!$V$3</f>
        <v>140</v>
      </c>
      <c r="E20" s="18" t="s">
        <v>7</v>
      </c>
      <c r="F20" s="31">
        <f>'2011 (Whites)'!$R$3</f>
        <v>200</v>
      </c>
      <c r="G20" s="18" t="s">
        <v>8</v>
      </c>
      <c r="H20" s="32">
        <f>'2011 (Whites)'!$V$3</f>
        <v>140</v>
      </c>
      <c r="I20" s="18" t="s">
        <v>7</v>
      </c>
      <c r="J20" s="31">
        <f>'2011 (Whites)'!$R$3</f>
        <v>200</v>
      </c>
      <c r="K20" s="18" t="s">
        <v>8</v>
      </c>
      <c r="L20" s="32">
        <f>'2011 (Whites)'!$V$3</f>
        <v>140</v>
      </c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</row>
    <row r="21" spans="1:36" ht="12" customHeight="1" x14ac:dyDescent="0.25">
      <c r="A21" s="18" t="s">
        <v>12</v>
      </c>
      <c r="B21" s="31">
        <f>'2011 (Whites)'!$R$4</f>
        <v>190</v>
      </c>
      <c r="C21" s="18" t="s">
        <v>13</v>
      </c>
      <c r="D21" s="31">
        <f>'2011 (Whites)'!$V$4</f>
        <v>130</v>
      </c>
      <c r="E21" s="18" t="s">
        <v>12</v>
      </c>
      <c r="F21" s="31">
        <f>'2011 (Whites)'!$R$4</f>
        <v>190</v>
      </c>
      <c r="G21" s="18" t="s">
        <v>13</v>
      </c>
      <c r="H21" s="31">
        <f>'2011 (Whites)'!$V$4</f>
        <v>130</v>
      </c>
      <c r="I21" s="18" t="s">
        <v>12</v>
      </c>
      <c r="J21" s="31">
        <f>'2011 (Whites)'!$R$4</f>
        <v>190</v>
      </c>
      <c r="K21" s="18" t="s">
        <v>13</v>
      </c>
      <c r="L21" s="31">
        <f>'2011 (Whites)'!$V$4</f>
        <v>130</v>
      </c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</row>
    <row r="22" spans="1:36" ht="12" customHeight="1" x14ac:dyDescent="0.25">
      <c r="A22" s="18" t="s">
        <v>17</v>
      </c>
      <c r="B22" s="31">
        <f>'2011 (Whites)'!$R$5</f>
        <v>180</v>
      </c>
      <c r="C22" s="18" t="s">
        <v>18</v>
      </c>
      <c r="D22" s="31">
        <f>'2011 (Whites)'!$V$5</f>
        <v>120</v>
      </c>
      <c r="E22" s="18" t="s">
        <v>17</v>
      </c>
      <c r="F22" s="31">
        <f>'2011 (Whites)'!$R$5</f>
        <v>180</v>
      </c>
      <c r="G22" s="18" t="s">
        <v>18</v>
      </c>
      <c r="H22" s="31">
        <f>'2011 (Whites)'!$V$5</f>
        <v>120</v>
      </c>
      <c r="I22" s="18" t="s">
        <v>17</v>
      </c>
      <c r="J22" s="31">
        <f>'2011 (Whites)'!$R$5</f>
        <v>180</v>
      </c>
      <c r="K22" s="18" t="s">
        <v>18</v>
      </c>
      <c r="L22" s="31">
        <f>'2011 (Whites)'!$V$5</f>
        <v>120</v>
      </c>
      <c r="M22" s="21"/>
      <c r="N22" s="22"/>
      <c r="O22" s="22"/>
      <c r="P22" s="21"/>
      <c r="Q22" s="22"/>
      <c r="R22" s="22"/>
      <c r="S22" s="21"/>
      <c r="T22" s="22"/>
      <c r="U22" s="22"/>
      <c r="V22" s="21"/>
      <c r="W22" s="22"/>
      <c r="X22" s="22"/>
      <c r="Y22" s="21"/>
      <c r="Z22" s="22"/>
      <c r="AA22" s="22"/>
      <c r="AB22" s="21"/>
      <c r="AC22" s="22"/>
      <c r="AD22" s="22"/>
      <c r="AE22" s="21"/>
      <c r="AF22" s="22"/>
      <c r="AG22" s="22"/>
      <c r="AH22" s="21"/>
      <c r="AI22" s="22"/>
      <c r="AJ22" s="22"/>
    </row>
    <row r="23" spans="1:36" ht="12" customHeight="1" x14ac:dyDescent="0.25">
      <c r="A23" s="18" t="s">
        <v>22</v>
      </c>
      <c r="B23" s="31">
        <f>'2011 (Whites)'!$R$6</f>
        <v>170</v>
      </c>
      <c r="C23" s="18" t="s">
        <v>23</v>
      </c>
      <c r="D23" s="34">
        <f>'2011 (Whites)'!$V$6</f>
        <v>110</v>
      </c>
      <c r="E23" s="18" t="s">
        <v>22</v>
      </c>
      <c r="F23" s="31">
        <f>'2011 (Whites)'!$R$6</f>
        <v>170</v>
      </c>
      <c r="G23" s="18" t="s">
        <v>23</v>
      </c>
      <c r="H23" s="34">
        <f>'2011 (Whites)'!$V$6</f>
        <v>110</v>
      </c>
      <c r="I23" s="18" t="s">
        <v>22</v>
      </c>
      <c r="J23" s="31">
        <f>'2011 (Whites)'!$R$6</f>
        <v>170</v>
      </c>
      <c r="K23" s="18" t="s">
        <v>23</v>
      </c>
      <c r="L23" s="34">
        <f>'2011 (Whites)'!$V$6</f>
        <v>110</v>
      </c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</row>
    <row r="24" spans="1:36" s="28" customFormat="1" ht="18" customHeight="1" x14ac:dyDescent="0.25">
      <c r="A24" s="25" t="s">
        <v>27</v>
      </c>
      <c r="B24" s="32">
        <f>'2011 (Whites)'!$R$7</f>
        <v>160</v>
      </c>
      <c r="C24" s="25" t="s">
        <v>28</v>
      </c>
      <c r="D24" s="32">
        <f>'2011 (Whites)'!$V$7</f>
        <v>100</v>
      </c>
      <c r="E24" s="25" t="s">
        <v>27</v>
      </c>
      <c r="F24" s="32">
        <f>'2011 (Whites)'!$R$7</f>
        <v>160</v>
      </c>
      <c r="G24" s="25" t="s">
        <v>28</v>
      </c>
      <c r="H24" s="32">
        <f>'2011 (Whites)'!$V$7</f>
        <v>100</v>
      </c>
      <c r="I24" s="25" t="s">
        <v>27</v>
      </c>
      <c r="J24" s="32">
        <f>'2011 (Whites)'!$R$7</f>
        <v>160</v>
      </c>
      <c r="K24" s="25" t="s">
        <v>28</v>
      </c>
      <c r="L24" s="32">
        <f>'2011 (Whites)'!$V$7</f>
        <v>100</v>
      </c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</row>
    <row r="25" spans="1:36" ht="12" customHeight="1" x14ac:dyDescent="0.25">
      <c r="A25" s="26" t="s">
        <v>3</v>
      </c>
      <c r="B25" s="31">
        <f>'2011 (Whites)'!$R$2</f>
        <v>220</v>
      </c>
      <c r="C25" s="26" t="s">
        <v>4</v>
      </c>
      <c r="D25" s="31">
        <f>'2011 (Whites)'!$V$2</f>
        <v>150</v>
      </c>
      <c r="E25" s="26" t="s">
        <v>3</v>
      </c>
      <c r="F25" s="31">
        <f>'2011 (Whites)'!$R$2</f>
        <v>220</v>
      </c>
      <c r="G25" s="26" t="s">
        <v>4</v>
      </c>
      <c r="H25" s="31">
        <f>'2011 (Whites)'!$V$2</f>
        <v>150</v>
      </c>
      <c r="I25" s="26" t="s">
        <v>3</v>
      </c>
      <c r="J25" s="31">
        <f>'2011 (Whites)'!$R$2</f>
        <v>220</v>
      </c>
      <c r="K25" s="26" t="s">
        <v>4</v>
      </c>
      <c r="L25" s="31">
        <f>'2011 (Whites)'!$V$2</f>
        <v>150</v>
      </c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</row>
    <row r="26" spans="1:36" ht="12" customHeight="1" x14ac:dyDescent="0.25">
      <c r="A26" s="18" t="s">
        <v>7</v>
      </c>
      <c r="B26" s="31">
        <f>'2011 (Whites)'!$R$3</f>
        <v>200</v>
      </c>
      <c r="C26" s="18" t="s">
        <v>8</v>
      </c>
      <c r="D26" s="32">
        <f>'2011 (Whites)'!$V$3</f>
        <v>140</v>
      </c>
      <c r="E26" s="18" t="s">
        <v>7</v>
      </c>
      <c r="F26" s="31">
        <f>'2011 (Whites)'!$R$3</f>
        <v>200</v>
      </c>
      <c r="G26" s="18" t="s">
        <v>8</v>
      </c>
      <c r="H26" s="32">
        <f>'2011 (Whites)'!$V$3</f>
        <v>140</v>
      </c>
      <c r="I26" s="18" t="s">
        <v>7</v>
      </c>
      <c r="J26" s="31">
        <f>'2011 (Whites)'!$R$3</f>
        <v>200</v>
      </c>
      <c r="K26" s="18" t="s">
        <v>8</v>
      </c>
      <c r="L26" s="32">
        <f>'2011 (Whites)'!$V$3</f>
        <v>140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</row>
    <row r="27" spans="1:36" ht="12" customHeight="1" x14ac:dyDescent="0.25">
      <c r="A27" s="18" t="s">
        <v>12</v>
      </c>
      <c r="B27" s="31">
        <f>'2011 (Whites)'!$R$4</f>
        <v>190</v>
      </c>
      <c r="C27" s="18" t="s">
        <v>13</v>
      </c>
      <c r="D27" s="31">
        <f>'2011 (Whites)'!$V$4</f>
        <v>130</v>
      </c>
      <c r="E27" s="18" t="s">
        <v>12</v>
      </c>
      <c r="F27" s="31">
        <f>'2011 (Whites)'!$R$4</f>
        <v>190</v>
      </c>
      <c r="G27" s="18" t="s">
        <v>13</v>
      </c>
      <c r="H27" s="31">
        <f>'2011 (Whites)'!$V$4</f>
        <v>130</v>
      </c>
      <c r="I27" s="18" t="s">
        <v>12</v>
      </c>
      <c r="J27" s="31">
        <f>'2011 (Whites)'!$R$4</f>
        <v>190</v>
      </c>
      <c r="K27" s="18" t="s">
        <v>13</v>
      </c>
      <c r="L27" s="31">
        <f>'2011 (Whites)'!$V$4</f>
        <v>130</v>
      </c>
      <c r="M27" s="21"/>
      <c r="N27" s="22"/>
      <c r="O27" s="22"/>
      <c r="P27" s="21"/>
      <c r="Q27" s="22"/>
      <c r="R27" s="22"/>
      <c r="S27" s="21"/>
      <c r="T27" s="22"/>
      <c r="U27" s="22"/>
      <c r="V27" s="21"/>
      <c r="W27" s="22"/>
      <c r="X27" s="22"/>
      <c r="Y27" s="21"/>
      <c r="Z27" s="22"/>
      <c r="AA27" s="22"/>
      <c r="AB27" s="21"/>
      <c r="AC27" s="22"/>
      <c r="AD27" s="22"/>
      <c r="AE27" s="21"/>
      <c r="AF27" s="22"/>
      <c r="AG27" s="22"/>
      <c r="AH27" s="21"/>
      <c r="AI27" s="22"/>
      <c r="AJ27" s="22"/>
    </row>
    <row r="28" spans="1:36" ht="12" customHeight="1" x14ac:dyDescent="0.25">
      <c r="A28" s="18" t="s">
        <v>17</v>
      </c>
      <c r="B28" s="31">
        <f>'2011 (Whites)'!$R$5</f>
        <v>180</v>
      </c>
      <c r="C28" s="18" t="s">
        <v>18</v>
      </c>
      <c r="D28" s="31">
        <f>'2011 (Whites)'!$V$5</f>
        <v>120</v>
      </c>
      <c r="E28" s="18" t="s">
        <v>17</v>
      </c>
      <c r="F28" s="31">
        <f>'2011 (Whites)'!$R$5</f>
        <v>180</v>
      </c>
      <c r="G28" s="18" t="s">
        <v>18</v>
      </c>
      <c r="H28" s="31">
        <f>'2011 (Whites)'!$V$5</f>
        <v>120</v>
      </c>
      <c r="I28" s="18" t="s">
        <v>17</v>
      </c>
      <c r="J28" s="31">
        <f>'2011 (Whites)'!$R$5</f>
        <v>180</v>
      </c>
      <c r="K28" s="18" t="s">
        <v>18</v>
      </c>
      <c r="L28" s="31">
        <f>'2011 (Whites)'!$V$5</f>
        <v>120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</row>
    <row r="29" spans="1:36" ht="12" customHeight="1" x14ac:dyDescent="0.25">
      <c r="A29" s="18" t="s">
        <v>22</v>
      </c>
      <c r="B29" s="31">
        <f>'2011 (Whites)'!$R$6</f>
        <v>170</v>
      </c>
      <c r="C29" s="18" t="s">
        <v>23</v>
      </c>
      <c r="D29" s="34">
        <f>'2011 (Whites)'!$V$6</f>
        <v>110</v>
      </c>
      <c r="E29" s="18" t="s">
        <v>22</v>
      </c>
      <c r="F29" s="31">
        <f>'2011 (Whites)'!$R$6</f>
        <v>170</v>
      </c>
      <c r="G29" s="18" t="s">
        <v>23</v>
      </c>
      <c r="H29" s="34">
        <f>'2011 (Whites)'!$V$6</f>
        <v>110</v>
      </c>
      <c r="I29" s="18" t="s">
        <v>22</v>
      </c>
      <c r="J29" s="31">
        <f>'2011 (Whites)'!$R$6</f>
        <v>170</v>
      </c>
      <c r="K29" s="18" t="s">
        <v>23</v>
      </c>
      <c r="L29" s="34">
        <f>'2011 (Whites)'!$V$6</f>
        <v>110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</row>
    <row r="30" spans="1:36" s="28" customFormat="1" ht="18" customHeight="1" x14ac:dyDescent="0.25">
      <c r="A30" s="25" t="s">
        <v>27</v>
      </c>
      <c r="B30" s="32">
        <f>'2011 (Whites)'!$R$7</f>
        <v>160</v>
      </c>
      <c r="C30" s="25" t="s">
        <v>28</v>
      </c>
      <c r="D30" s="32">
        <f>'2011 (Whites)'!$V$7</f>
        <v>100</v>
      </c>
      <c r="E30" s="25" t="s">
        <v>27</v>
      </c>
      <c r="F30" s="32">
        <f>'2011 (Whites)'!$R$7</f>
        <v>160</v>
      </c>
      <c r="G30" s="25" t="s">
        <v>28</v>
      </c>
      <c r="H30" s="32">
        <f>'2011 (Whites)'!$V$7</f>
        <v>100</v>
      </c>
      <c r="I30" s="25" t="s">
        <v>27</v>
      </c>
      <c r="J30" s="32">
        <f>'2011 (Whites)'!$R$7</f>
        <v>160</v>
      </c>
      <c r="K30" s="25" t="s">
        <v>28</v>
      </c>
      <c r="L30" s="32">
        <f>'2011 (Whites)'!$V$7</f>
        <v>100</v>
      </c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</row>
    <row r="31" spans="1:36" ht="12" customHeight="1" x14ac:dyDescent="0.25">
      <c r="A31" s="26" t="s">
        <v>3</v>
      </c>
      <c r="B31" s="31">
        <f>'2011 (Whites)'!$R$2</f>
        <v>220</v>
      </c>
      <c r="C31" s="26" t="s">
        <v>4</v>
      </c>
      <c r="D31" s="31">
        <f>'2011 (Whites)'!$V$2</f>
        <v>150</v>
      </c>
      <c r="E31" s="26" t="s">
        <v>3</v>
      </c>
      <c r="F31" s="31">
        <f>'2011 (Whites)'!$R$2</f>
        <v>220</v>
      </c>
      <c r="G31" s="26" t="s">
        <v>4</v>
      </c>
      <c r="H31" s="31">
        <f>'2011 (Whites)'!$V$2</f>
        <v>150</v>
      </c>
      <c r="I31" s="26" t="s">
        <v>3</v>
      </c>
      <c r="J31" s="31">
        <f>'2011 (Whites)'!$R$2</f>
        <v>220</v>
      </c>
      <c r="K31" s="26" t="s">
        <v>4</v>
      </c>
      <c r="L31" s="31">
        <f>'2011 (Whites)'!$V$2</f>
        <v>150</v>
      </c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</row>
    <row r="32" spans="1:36" ht="12" customHeight="1" x14ac:dyDescent="0.25">
      <c r="A32" s="18" t="s">
        <v>7</v>
      </c>
      <c r="B32" s="31">
        <f>'2011 (Whites)'!$R$3</f>
        <v>200</v>
      </c>
      <c r="C32" s="18" t="s">
        <v>8</v>
      </c>
      <c r="D32" s="32">
        <f>'2011 (Whites)'!$V$3</f>
        <v>140</v>
      </c>
      <c r="E32" s="18" t="s">
        <v>7</v>
      </c>
      <c r="F32" s="31">
        <f>'2011 (Whites)'!$R$3</f>
        <v>200</v>
      </c>
      <c r="G32" s="18" t="s">
        <v>8</v>
      </c>
      <c r="H32" s="32">
        <f>'2011 (Whites)'!$V$3</f>
        <v>140</v>
      </c>
      <c r="I32" s="18" t="s">
        <v>7</v>
      </c>
      <c r="J32" s="31">
        <f>'2011 (Whites)'!$R$3</f>
        <v>200</v>
      </c>
      <c r="K32" s="18" t="s">
        <v>8</v>
      </c>
      <c r="L32" s="32">
        <f>'2011 (Whites)'!$V$3</f>
        <v>140</v>
      </c>
      <c r="M32" s="21"/>
      <c r="N32" s="22"/>
      <c r="O32" s="22"/>
      <c r="P32" s="21"/>
      <c r="Q32" s="22"/>
      <c r="R32" s="22"/>
      <c r="S32" s="21"/>
      <c r="T32" s="22"/>
      <c r="U32" s="22"/>
      <c r="V32" s="21"/>
      <c r="W32" s="22"/>
      <c r="X32" s="22"/>
      <c r="Y32" s="21"/>
      <c r="Z32" s="22"/>
      <c r="AA32" s="22"/>
      <c r="AB32" s="21"/>
      <c r="AC32" s="22"/>
      <c r="AD32" s="22"/>
      <c r="AE32" s="21"/>
      <c r="AF32" s="22"/>
      <c r="AG32" s="22"/>
      <c r="AH32" s="21"/>
      <c r="AI32" s="22"/>
      <c r="AJ32" s="22"/>
    </row>
    <row r="33" spans="1:36" ht="12" customHeight="1" x14ac:dyDescent="0.25">
      <c r="A33" s="18" t="s">
        <v>12</v>
      </c>
      <c r="B33" s="31">
        <f>'2011 (Whites)'!$R$4</f>
        <v>190</v>
      </c>
      <c r="C33" s="18" t="s">
        <v>13</v>
      </c>
      <c r="D33" s="31">
        <f>'2011 (Whites)'!$V$4</f>
        <v>130</v>
      </c>
      <c r="E33" s="18" t="s">
        <v>12</v>
      </c>
      <c r="F33" s="31">
        <f>'2011 (Whites)'!$R$4</f>
        <v>190</v>
      </c>
      <c r="G33" s="18" t="s">
        <v>13</v>
      </c>
      <c r="H33" s="31">
        <f>'2011 (Whites)'!$V$4</f>
        <v>130</v>
      </c>
      <c r="I33" s="18" t="s">
        <v>12</v>
      </c>
      <c r="J33" s="31">
        <f>'2011 (Whites)'!$R$4</f>
        <v>190</v>
      </c>
      <c r="K33" s="18" t="s">
        <v>13</v>
      </c>
      <c r="L33" s="31">
        <f>'2011 (Whites)'!$V$4</f>
        <v>130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</row>
    <row r="34" spans="1:36" ht="12" customHeight="1" x14ac:dyDescent="0.25">
      <c r="A34" s="18" t="s">
        <v>17</v>
      </c>
      <c r="B34" s="31">
        <f>'2011 (Whites)'!$R$5</f>
        <v>180</v>
      </c>
      <c r="C34" s="18" t="s">
        <v>18</v>
      </c>
      <c r="D34" s="31">
        <f>'2011 (Whites)'!$V$5</f>
        <v>120</v>
      </c>
      <c r="E34" s="18" t="s">
        <v>17</v>
      </c>
      <c r="F34" s="31">
        <f>'2011 (Whites)'!$R$5</f>
        <v>180</v>
      </c>
      <c r="G34" s="18" t="s">
        <v>18</v>
      </c>
      <c r="H34" s="31">
        <f>'2011 (Whites)'!$V$5</f>
        <v>120</v>
      </c>
      <c r="I34" s="18" t="s">
        <v>17</v>
      </c>
      <c r="J34" s="31">
        <f>'2011 (Whites)'!$R$5</f>
        <v>180</v>
      </c>
      <c r="K34" s="18" t="s">
        <v>18</v>
      </c>
      <c r="L34" s="31">
        <f>'2011 (Whites)'!$V$5</f>
        <v>120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</row>
    <row r="35" spans="1:36" ht="12" customHeight="1" x14ac:dyDescent="0.25">
      <c r="A35" s="18" t="s">
        <v>22</v>
      </c>
      <c r="B35" s="31">
        <f>'2011 (Whites)'!$R$6</f>
        <v>170</v>
      </c>
      <c r="C35" s="18" t="s">
        <v>23</v>
      </c>
      <c r="D35" s="34">
        <f>'2011 (Whites)'!$V$6</f>
        <v>110</v>
      </c>
      <c r="E35" s="18" t="s">
        <v>22</v>
      </c>
      <c r="F35" s="31">
        <f>'2011 (Whites)'!$R$6</f>
        <v>170</v>
      </c>
      <c r="G35" s="18" t="s">
        <v>23</v>
      </c>
      <c r="H35" s="34">
        <f>'2011 (Whites)'!$V$6</f>
        <v>110</v>
      </c>
      <c r="I35" s="18" t="s">
        <v>22</v>
      </c>
      <c r="J35" s="31">
        <f>'2011 (Whites)'!$R$6</f>
        <v>170</v>
      </c>
      <c r="K35" s="18" t="s">
        <v>23</v>
      </c>
      <c r="L35" s="34">
        <f>'2011 (Whites)'!$V$6</f>
        <v>110</v>
      </c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</row>
    <row r="36" spans="1:36" s="28" customFormat="1" ht="18" customHeight="1" x14ac:dyDescent="0.25">
      <c r="A36" s="25" t="s">
        <v>27</v>
      </c>
      <c r="B36" s="32">
        <f>'2011 (Whites)'!$R$7</f>
        <v>160</v>
      </c>
      <c r="C36" s="25" t="s">
        <v>28</v>
      </c>
      <c r="D36" s="32">
        <f>'2011 (Whites)'!$V$7</f>
        <v>100</v>
      </c>
      <c r="E36" s="25" t="s">
        <v>27</v>
      </c>
      <c r="F36" s="32">
        <f>'2011 (Whites)'!$R$7</f>
        <v>160</v>
      </c>
      <c r="G36" s="25" t="s">
        <v>28</v>
      </c>
      <c r="H36" s="32">
        <f>'2011 (Whites)'!$V$7</f>
        <v>100</v>
      </c>
      <c r="I36" s="25" t="s">
        <v>27</v>
      </c>
      <c r="J36" s="32">
        <f>'2011 (Whites)'!$R$7</f>
        <v>160</v>
      </c>
      <c r="K36" s="25" t="s">
        <v>28</v>
      </c>
      <c r="L36" s="32">
        <f>'2011 (Whites)'!$V$7</f>
        <v>100</v>
      </c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</row>
    <row r="37" spans="1:36" ht="12" customHeight="1" x14ac:dyDescent="0.25">
      <c r="A37" s="26" t="s">
        <v>3</v>
      </c>
      <c r="B37" s="31">
        <f>'2011 (Whites)'!$R$2</f>
        <v>220</v>
      </c>
      <c r="C37" s="26" t="s">
        <v>4</v>
      </c>
      <c r="D37" s="31">
        <f>'2011 (Whites)'!$V$2</f>
        <v>150</v>
      </c>
      <c r="E37" s="26" t="s">
        <v>3</v>
      </c>
      <c r="F37" s="31">
        <f>'2011 (Whites)'!$R$2</f>
        <v>220</v>
      </c>
      <c r="G37" s="26" t="s">
        <v>4</v>
      </c>
      <c r="H37" s="31">
        <f>'2011 (Whites)'!$V$2</f>
        <v>150</v>
      </c>
      <c r="I37" s="26" t="s">
        <v>3</v>
      </c>
      <c r="J37" s="31">
        <f>'2011 (Whites)'!$R$2</f>
        <v>220</v>
      </c>
      <c r="K37" s="26" t="s">
        <v>4</v>
      </c>
      <c r="L37" s="31">
        <f>'2011 (Whites)'!$V$2</f>
        <v>150</v>
      </c>
      <c r="M37" s="21"/>
      <c r="N37" s="22"/>
      <c r="O37" s="22"/>
      <c r="P37" s="21"/>
      <c r="Q37" s="22"/>
      <c r="R37" s="22"/>
      <c r="S37" s="21"/>
      <c r="T37" s="22"/>
      <c r="U37" s="22"/>
      <c r="V37" s="21"/>
      <c r="W37" s="22"/>
      <c r="X37" s="22"/>
      <c r="Y37" s="21"/>
      <c r="Z37" s="22"/>
      <c r="AA37" s="22"/>
      <c r="AB37" s="21"/>
      <c r="AC37" s="22"/>
      <c r="AD37" s="22"/>
      <c r="AE37" s="21"/>
      <c r="AF37" s="22"/>
      <c r="AG37" s="22"/>
      <c r="AH37" s="21"/>
      <c r="AI37" s="22"/>
      <c r="AJ37" s="22"/>
    </row>
    <row r="38" spans="1:36" ht="12" customHeight="1" x14ac:dyDescent="0.25">
      <c r="A38" s="18" t="s">
        <v>7</v>
      </c>
      <c r="B38" s="31">
        <f>'2011 (Whites)'!$R$3</f>
        <v>200</v>
      </c>
      <c r="C38" s="18" t="s">
        <v>8</v>
      </c>
      <c r="D38" s="32">
        <f>'2011 (Whites)'!$V$3</f>
        <v>140</v>
      </c>
      <c r="E38" s="18" t="s">
        <v>7</v>
      </c>
      <c r="F38" s="31">
        <f>'2011 (Whites)'!$R$3</f>
        <v>200</v>
      </c>
      <c r="G38" s="18" t="s">
        <v>8</v>
      </c>
      <c r="H38" s="32">
        <f>'2011 (Whites)'!$V$3</f>
        <v>140</v>
      </c>
      <c r="I38" s="18" t="s">
        <v>7</v>
      </c>
      <c r="J38" s="31">
        <f>'2011 (Whites)'!$R$3</f>
        <v>200</v>
      </c>
      <c r="K38" s="18" t="s">
        <v>8</v>
      </c>
      <c r="L38" s="32">
        <f>'2011 (Whites)'!$V$3</f>
        <v>140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</row>
    <row r="39" spans="1:36" ht="12" customHeight="1" x14ac:dyDescent="0.25">
      <c r="A39" s="18" t="s">
        <v>12</v>
      </c>
      <c r="B39" s="31">
        <f>'2011 (Whites)'!$R$4</f>
        <v>190</v>
      </c>
      <c r="C39" s="18" t="s">
        <v>13</v>
      </c>
      <c r="D39" s="31">
        <f>'2011 (Whites)'!$V$4</f>
        <v>130</v>
      </c>
      <c r="E39" s="18" t="s">
        <v>12</v>
      </c>
      <c r="F39" s="31">
        <f>'2011 (Whites)'!$R$4</f>
        <v>190</v>
      </c>
      <c r="G39" s="18" t="s">
        <v>13</v>
      </c>
      <c r="H39" s="31">
        <f>'2011 (Whites)'!$V$4</f>
        <v>130</v>
      </c>
      <c r="I39" s="18" t="s">
        <v>12</v>
      </c>
      <c r="J39" s="31">
        <f>'2011 (Whites)'!$R$4</f>
        <v>190</v>
      </c>
      <c r="K39" s="18" t="s">
        <v>13</v>
      </c>
      <c r="L39" s="31">
        <f>'2011 (Whites)'!$V$4</f>
        <v>130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</row>
    <row r="40" spans="1:36" ht="12" customHeight="1" x14ac:dyDescent="0.25">
      <c r="A40" s="18" t="s">
        <v>17</v>
      </c>
      <c r="B40" s="31">
        <f>'2011 (Whites)'!$R$5</f>
        <v>180</v>
      </c>
      <c r="C40" s="18" t="s">
        <v>18</v>
      </c>
      <c r="D40" s="31">
        <f>'2011 (Whites)'!$V$5</f>
        <v>120</v>
      </c>
      <c r="E40" s="18" t="s">
        <v>17</v>
      </c>
      <c r="F40" s="31">
        <f>'2011 (Whites)'!$R$5</f>
        <v>180</v>
      </c>
      <c r="G40" s="18" t="s">
        <v>18</v>
      </c>
      <c r="H40" s="31">
        <f>'2011 (Whites)'!$V$5</f>
        <v>120</v>
      </c>
      <c r="I40" s="18" t="s">
        <v>17</v>
      </c>
      <c r="J40" s="31">
        <f>'2011 (Whites)'!$R$5</f>
        <v>180</v>
      </c>
      <c r="K40" s="18" t="s">
        <v>18</v>
      </c>
      <c r="L40" s="31">
        <f>'2011 (Whites)'!$V$5</f>
        <v>120</v>
      </c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</row>
    <row r="41" spans="1:36" ht="12" customHeight="1" x14ac:dyDescent="0.25">
      <c r="A41" s="18" t="s">
        <v>22</v>
      </c>
      <c r="B41" s="31">
        <f>'2011 (Whites)'!$R$6</f>
        <v>170</v>
      </c>
      <c r="C41" s="18" t="s">
        <v>23</v>
      </c>
      <c r="D41" s="34">
        <f>'2011 (Whites)'!$V$6</f>
        <v>110</v>
      </c>
      <c r="E41" s="18" t="s">
        <v>22</v>
      </c>
      <c r="F41" s="31">
        <f>'2011 (Whites)'!$R$6</f>
        <v>170</v>
      </c>
      <c r="G41" s="18" t="s">
        <v>23</v>
      </c>
      <c r="H41" s="34">
        <f>'2011 (Whites)'!$V$6</f>
        <v>110</v>
      </c>
      <c r="I41" s="18" t="s">
        <v>22</v>
      </c>
      <c r="J41" s="31">
        <f>'2011 (Whites)'!$R$6</f>
        <v>170</v>
      </c>
      <c r="K41" s="18" t="s">
        <v>23</v>
      </c>
      <c r="L41" s="34">
        <f>'2011 (Whites)'!$V$6</f>
        <v>110</v>
      </c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</row>
    <row r="42" spans="1:36" s="28" customFormat="1" ht="18" customHeight="1" x14ac:dyDescent="0.25">
      <c r="A42" s="25" t="s">
        <v>27</v>
      </c>
      <c r="B42" s="32">
        <f>'2011 (Whites)'!$R$7</f>
        <v>160</v>
      </c>
      <c r="C42" s="25" t="s">
        <v>28</v>
      </c>
      <c r="D42" s="32">
        <f>'2011 (Whites)'!$V$7</f>
        <v>100</v>
      </c>
      <c r="E42" s="25" t="s">
        <v>27</v>
      </c>
      <c r="F42" s="32">
        <f>'2011 (Whites)'!$R$7</f>
        <v>160</v>
      </c>
      <c r="G42" s="25" t="s">
        <v>28</v>
      </c>
      <c r="H42" s="32">
        <f>'2011 (Whites)'!$V$7</f>
        <v>100</v>
      </c>
      <c r="I42" s="25" t="s">
        <v>27</v>
      </c>
      <c r="J42" s="32">
        <f>'2011 (Whites)'!$R$7</f>
        <v>160</v>
      </c>
      <c r="K42" s="25" t="s">
        <v>28</v>
      </c>
      <c r="L42" s="32">
        <f>'2011 (Whites)'!$V$7</f>
        <v>100</v>
      </c>
      <c r="M42" s="21"/>
      <c r="N42" s="29"/>
      <c r="O42" s="29"/>
      <c r="P42" s="21"/>
      <c r="Q42" s="29"/>
      <c r="R42" s="29"/>
      <c r="S42" s="21"/>
      <c r="T42" s="29"/>
      <c r="U42" s="29"/>
      <c r="V42" s="21"/>
      <c r="W42" s="29"/>
      <c r="X42" s="29"/>
      <c r="Y42" s="21"/>
      <c r="Z42" s="29"/>
      <c r="AA42" s="29"/>
      <c r="AB42" s="21"/>
      <c r="AC42" s="29"/>
      <c r="AD42" s="29"/>
      <c r="AE42" s="21"/>
      <c r="AF42" s="29"/>
      <c r="AG42" s="29"/>
      <c r="AH42" s="21"/>
      <c r="AI42" s="29"/>
      <c r="AJ42" s="29"/>
    </row>
    <row r="43" spans="1:36" ht="12" customHeight="1" x14ac:dyDescent="0.25">
      <c r="A43" s="26" t="s">
        <v>3</v>
      </c>
      <c r="B43" s="31">
        <f>'2011 (Whites)'!$R$2</f>
        <v>220</v>
      </c>
      <c r="C43" s="26" t="s">
        <v>4</v>
      </c>
      <c r="D43" s="31">
        <f>'2011 (Whites)'!$V$2</f>
        <v>150</v>
      </c>
      <c r="E43" s="26" t="s">
        <v>3</v>
      </c>
      <c r="F43" s="31">
        <f>'2011 (Whites)'!$R$2</f>
        <v>220</v>
      </c>
      <c r="G43" s="26" t="s">
        <v>4</v>
      </c>
      <c r="H43" s="31">
        <f>'2011 (Whites)'!$V$2</f>
        <v>150</v>
      </c>
      <c r="I43" s="26" t="s">
        <v>3</v>
      </c>
      <c r="J43" s="31">
        <f>'2011 (Whites)'!$R$2</f>
        <v>220</v>
      </c>
      <c r="K43" s="26" t="s">
        <v>4</v>
      </c>
      <c r="L43" s="31">
        <f>'2011 (Whites)'!$V$2</f>
        <v>150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</row>
    <row r="44" spans="1:36" ht="12" customHeight="1" x14ac:dyDescent="0.25">
      <c r="A44" s="18" t="s">
        <v>7</v>
      </c>
      <c r="B44" s="31">
        <f>'2011 (Whites)'!$R$3</f>
        <v>200</v>
      </c>
      <c r="C44" s="18" t="s">
        <v>8</v>
      </c>
      <c r="D44" s="32">
        <f>'2011 (Whites)'!$V$3</f>
        <v>140</v>
      </c>
      <c r="E44" s="18" t="s">
        <v>7</v>
      </c>
      <c r="F44" s="31">
        <f>'2011 (Whites)'!$R$3</f>
        <v>200</v>
      </c>
      <c r="G44" s="18" t="s">
        <v>8</v>
      </c>
      <c r="H44" s="32">
        <f>'2011 (Whites)'!$V$3</f>
        <v>140</v>
      </c>
      <c r="I44" s="18" t="s">
        <v>7</v>
      </c>
      <c r="J44" s="31">
        <f>'2011 (Whites)'!$R$3</f>
        <v>200</v>
      </c>
      <c r="K44" s="18" t="s">
        <v>8</v>
      </c>
      <c r="L44" s="32">
        <f>'2011 (Whites)'!$V$3</f>
        <v>140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</row>
    <row r="45" spans="1:36" ht="12" customHeight="1" x14ac:dyDescent="0.25">
      <c r="A45" s="18" t="s">
        <v>12</v>
      </c>
      <c r="B45" s="31">
        <f>'2011 (Whites)'!$R$4</f>
        <v>190</v>
      </c>
      <c r="C45" s="18" t="s">
        <v>13</v>
      </c>
      <c r="D45" s="31">
        <f>'2011 (Whites)'!$V$4</f>
        <v>130</v>
      </c>
      <c r="E45" s="18" t="s">
        <v>12</v>
      </c>
      <c r="F45" s="31">
        <f>'2011 (Whites)'!$R$4</f>
        <v>190</v>
      </c>
      <c r="G45" s="18" t="s">
        <v>13</v>
      </c>
      <c r="H45" s="31">
        <f>'2011 (Whites)'!$V$4</f>
        <v>130</v>
      </c>
      <c r="I45" s="18" t="s">
        <v>12</v>
      </c>
      <c r="J45" s="31">
        <f>'2011 (Whites)'!$R$4</f>
        <v>190</v>
      </c>
      <c r="K45" s="18" t="s">
        <v>13</v>
      </c>
      <c r="L45" s="31">
        <f>'2011 (Whites)'!$V$4</f>
        <v>130</v>
      </c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</row>
    <row r="46" spans="1:36" ht="12" customHeight="1" x14ac:dyDescent="0.25">
      <c r="A46" s="18" t="s">
        <v>17</v>
      </c>
      <c r="B46" s="31">
        <f>'2011 (Whites)'!$R$5</f>
        <v>180</v>
      </c>
      <c r="C46" s="18" t="s">
        <v>18</v>
      </c>
      <c r="D46" s="31">
        <f>'2011 (Whites)'!$V$5</f>
        <v>120</v>
      </c>
      <c r="E46" s="18" t="s">
        <v>17</v>
      </c>
      <c r="F46" s="31">
        <f>'2011 (Whites)'!$R$5</f>
        <v>180</v>
      </c>
      <c r="G46" s="18" t="s">
        <v>18</v>
      </c>
      <c r="H46" s="31">
        <f>'2011 (Whites)'!$V$5</f>
        <v>120</v>
      </c>
      <c r="I46" s="18" t="s">
        <v>17</v>
      </c>
      <c r="J46" s="31">
        <f>'2011 (Whites)'!$R$5</f>
        <v>180</v>
      </c>
      <c r="K46" s="18" t="s">
        <v>18</v>
      </c>
      <c r="L46" s="31">
        <f>'2011 (Whites)'!$V$5</f>
        <v>120</v>
      </c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</row>
    <row r="47" spans="1:36" ht="12" customHeight="1" x14ac:dyDescent="0.25">
      <c r="A47" s="18" t="s">
        <v>22</v>
      </c>
      <c r="B47" s="31">
        <f>'2011 (Whites)'!$R$6</f>
        <v>170</v>
      </c>
      <c r="C47" s="18" t="s">
        <v>23</v>
      </c>
      <c r="D47" s="34">
        <f>'2011 (Whites)'!$V$6</f>
        <v>110</v>
      </c>
      <c r="E47" s="18" t="s">
        <v>22</v>
      </c>
      <c r="F47" s="31">
        <f>'2011 (Whites)'!$R$6</f>
        <v>170</v>
      </c>
      <c r="G47" s="18" t="s">
        <v>23</v>
      </c>
      <c r="H47" s="34">
        <f>'2011 (Whites)'!$V$6</f>
        <v>110</v>
      </c>
      <c r="I47" s="18" t="s">
        <v>22</v>
      </c>
      <c r="J47" s="31">
        <f>'2011 (Whites)'!$R$6</f>
        <v>170</v>
      </c>
      <c r="K47" s="18" t="s">
        <v>23</v>
      </c>
      <c r="L47" s="34">
        <f>'2011 (Whites)'!$V$6</f>
        <v>110</v>
      </c>
      <c r="M47" s="21"/>
      <c r="N47" s="22"/>
      <c r="O47" s="22"/>
      <c r="P47" s="21"/>
      <c r="Q47" s="22"/>
      <c r="R47" s="22"/>
      <c r="S47" s="21"/>
      <c r="T47" s="22"/>
      <c r="U47" s="22"/>
      <c r="V47" s="21"/>
      <c r="W47" s="22"/>
      <c r="X47" s="22"/>
      <c r="Y47" s="21"/>
      <c r="Z47" s="22"/>
      <c r="AA47" s="22"/>
      <c r="AB47" s="21"/>
      <c r="AC47" s="22"/>
      <c r="AD47" s="22"/>
      <c r="AE47" s="21"/>
      <c r="AF47" s="22"/>
      <c r="AG47" s="22"/>
      <c r="AH47" s="21"/>
      <c r="AI47" s="22"/>
      <c r="AJ47" s="22"/>
    </row>
    <row r="48" spans="1:36" s="28" customFormat="1" ht="18" customHeight="1" x14ac:dyDescent="0.25">
      <c r="A48" s="25" t="s">
        <v>27</v>
      </c>
      <c r="B48" s="32">
        <f>'2011 (Whites)'!$R$7</f>
        <v>160</v>
      </c>
      <c r="C48" s="25" t="s">
        <v>28</v>
      </c>
      <c r="D48" s="32">
        <f>'2011 (Whites)'!$V$7</f>
        <v>100</v>
      </c>
      <c r="E48" s="25" t="s">
        <v>27</v>
      </c>
      <c r="F48" s="32">
        <f>'2011 (Whites)'!$R$7</f>
        <v>160</v>
      </c>
      <c r="G48" s="25" t="s">
        <v>28</v>
      </c>
      <c r="H48" s="32">
        <f>'2011 (Whites)'!$V$7</f>
        <v>100</v>
      </c>
      <c r="I48" s="25" t="s">
        <v>27</v>
      </c>
      <c r="J48" s="32">
        <f>'2011 (Whites)'!$R$7</f>
        <v>160</v>
      </c>
      <c r="K48" s="25" t="s">
        <v>28</v>
      </c>
      <c r="L48" s="32">
        <f>'2011 (Whites)'!$V$7</f>
        <v>100</v>
      </c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</row>
    <row r="49" spans="1:36" ht="12" customHeight="1" x14ac:dyDescent="0.25">
      <c r="A49" s="26" t="s">
        <v>3</v>
      </c>
      <c r="B49" s="31">
        <f>'2011 (Whites)'!$R$2</f>
        <v>220</v>
      </c>
      <c r="C49" s="26" t="s">
        <v>4</v>
      </c>
      <c r="D49" s="31">
        <f>'2011 (Whites)'!$V$2</f>
        <v>150</v>
      </c>
      <c r="E49" s="26" t="s">
        <v>3</v>
      </c>
      <c r="F49" s="31">
        <f>'2011 (Whites)'!$R$2</f>
        <v>220</v>
      </c>
      <c r="G49" s="26" t="s">
        <v>4</v>
      </c>
      <c r="H49" s="31">
        <f>'2011 (Whites)'!$V$2</f>
        <v>150</v>
      </c>
      <c r="I49" s="26" t="s">
        <v>3</v>
      </c>
      <c r="J49" s="31">
        <f>'2011 (Whites)'!$R$2</f>
        <v>220</v>
      </c>
      <c r="K49" s="26" t="s">
        <v>4</v>
      </c>
      <c r="L49" s="31">
        <f>'2011 (Whites)'!$V$2</f>
        <v>150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</row>
    <row r="50" spans="1:36" ht="12" customHeight="1" x14ac:dyDescent="0.25">
      <c r="A50" s="18" t="s">
        <v>7</v>
      </c>
      <c r="B50" s="31">
        <f>'2011 (Whites)'!$R$3</f>
        <v>200</v>
      </c>
      <c r="C50" s="18" t="s">
        <v>8</v>
      </c>
      <c r="D50" s="32">
        <f>'2011 (Whites)'!$V$3</f>
        <v>140</v>
      </c>
      <c r="E50" s="18" t="s">
        <v>7</v>
      </c>
      <c r="F50" s="31">
        <f>'2011 (Whites)'!$R$3</f>
        <v>200</v>
      </c>
      <c r="G50" s="18" t="s">
        <v>8</v>
      </c>
      <c r="H50" s="32">
        <f>'2011 (Whites)'!$V$3</f>
        <v>140</v>
      </c>
      <c r="I50" s="18" t="s">
        <v>7</v>
      </c>
      <c r="J50" s="31">
        <f>'2011 (Whites)'!$R$3</f>
        <v>200</v>
      </c>
      <c r="K50" s="18" t="s">
        <v>8</v>
      </c>
      <c r="L50" s="32">
        <f>'2011 (Whites)'!$V$3</f>
        <v>140</v>
      </c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</row>
    <row r="51" spans="1:36" ht="12" customHeight="1" x14ac:dyDescent="0.25">
      <c r="A51" s="18" t="s">
        <v>12</v>
      </c>
      <c r="B51" s="31">
        <f>'2011 (Whites)'!$R$4</f>
        <v>190</v>
      </c>
      <c r="C51" s="18" t="s">
        <v>13</v>
      </c>
      <c r="D51" s="31">
        <f>'2011 (Whites)'!$V$4</f>
        <v>130</v>
      </c>
      <c r="E51" s="18" t="s">
        <v>12</v>
      </c>
      <c r="F51" s="31">
        <f>'2011 (Whites)'!$R$4</f>
        <v>190</v>
      </c>
      <c r="G51" s="18" t="s">
        <v>13</v>
      </c>
      <c r="H51" s="31">
        <f>'2011 (Whites)'!$V$4</f>
        <v>130</v>
      </c>
      <c r="I51" s="18" t="s">
        <v>12</v>
      </c>
      <c r="J51" s="31">
        <f>'2011 (Whites)'!$R$4</f>
        <v>190</v>
      </c>
      <c r="K51" s="18" t="s">
        <v>13</v>
      </c>
      <c r="L51" s="31">
        <f>'2011 (Whites)'!$V$4</f>
        <v>130</v>
      </c>
    </row>
    <row r="52" spans="1:36" ht="12" customHeight="1" x14ac:dyDescent="0.25">
      <c r="A52" s="18" t="s">
        <v>17</v>
      </c>
      <c r="B52" s="31">
        <f>'2011 (Whites)'!$R$5</f>
        <v>180</v>
      </c>
      <c r="C52" s="18" t="s">
        <v>18</v>
      </c>
      <c r="D52" s="31">
        <f>'2011 (Whites)'!$V$5</f>
        <v>120</v>
      </c>
      <c r="E52" s="18" t="s">
        <v>17</v>
      </c>
      <c r="F52" s="31">
        <f>'2011 (Whites)'!$R$5</f>
        <v>180</v>
      </c>
      <c r="G52" s="18" t="s">
        <v>18</v>
      </c>
      <c r="H52" s="31">
        <f>'2011 (Whites)'!$V$5</f>
        <v>120</v>
      </c>
      <c r="I52" s="18" t="s">
        <v>17</v>
      </c>
      <c r="J52" s="31">
        <f>'2011 (Whites)'!$R$5</f>
        <v>180</v>
      </c>
      <c r="K52" s="18" t="s">
        <v>18</v>
      </c>
      <c r="L52" s="31">
        <f>'2011 (Whites)'!$V$5</f>
        <v>120</v>
      </c>
    </row>
    <row r="53" spans="1:36" ht="12" customHeight="1" x14ac:dyDescent="0.25">
      <c r="A53" s="18" t="s">
        <v>22</v>
      </c>
      <c r="B53" s="31">
        <f>'2011 (Whites)'!$R$6</f>
        <v>170</v>
      </c>
      <c r="C53" s="18" t="s">
        <v>23</v>
      </c>
      <c r="D53" s="34">
        <f>'2011 (Whites)'!$V$6</f>
        <v>110</v>
      </c>
      <c r="E53" s="18" t="s">
        <v>22</v>
      </c>
      <c r="F53" s="31">
        <f>'2011 (Whites)'!$R$6</f>
        <v>170</v>
      </c>
      <c r="G53" s="18" t="s">
        <v>23</v>
      </c>
      <c r="H53" s="34">
        <f>'2011 (Whites)'!$V$6</f>
        <v>110</v>
      </c>
      <c r="I53" s="18" t="s">
        <v>22</v>
      </c>
      <c r="J53" s="31">
        <f>'2011 (Whites)'!$R$6</f>
        <v>170</v>
      </c>
      <c r="K53" s="18" t="s">
        <v>23</v>
      </c>
      <c r="L53" s="34">
        <f>'2011 (Whites)'!$V$6</f>
        <v>110</v>
      </c>
    </row>
    <row r="54" spans="1:36" ht="18" customHeight="1" x14ac:dyDescent="0.25">
      <c r="A54" s="25" t="s">
        <v>27</v>
      </c>
      <c r="B54" s="32">
        <f>'2011 (Whites)'!$R$7</f>
        <v>160</v>
      </c>
      <c r="C54" s="25" t="s">
        <v>28</v>
      </c>
      <c r="D54" s="32">
        <f>'2011 (Whites)'!$V$7</f>
        <v>100</v>
      </c>
      <c r="E54" s="25" t="s">
        <v>27</v>
      </c>
      <c r="F54" s="32">
        <f>'2011 (Whites)'!$R$7</f>
        <v>160</v>
      </c>
      <c r="G54" s="25" t="s">
        <v>28</v>
      </c>
      <c r="H54" s="32">
        <f>'2011 (Whites)'!$V$7</f>
        <v>100</v>
      </c>
      <c r="I54" s="25" t="s">
        <v>27</v>
      </c>
      <c r="J54" s="32">
        <f>'2011 (Whites)'!$R$7</f>
        <v>160</v>
      </c>
      <c r="K54" s="25" t="s">
        <v>28</v>
      </c>
      <c r="L54" s="32">
        <f>'2011 (Whites)'!$V$7</f>
        <v>100</v>
      </c>
    </row>
    <row r="55" spans="1:36" ht="12" customHeight="1" x14ac:dyDescent="0.25">
      <c r="A55" s="26" t="s">
        <v>3</v>
      </c>
      <c r="B55" s="31">
        <f>'2011 (Whites)'!$R$2</f>
        <v>220</v>
      </c>
      <c r="C55" s="26" t="s">
        <v>4</v>
      </c>
      <c r="D55" s="31">
        <f>'2011 (Whites)'!$V$2</f>
        <v>150</v>
      </c>
      <c r="E55" s="26" t="s">
        <v>3</v>
      </c>
      <c r="F55" s="31">
        <f>'2011 (Whites)'!$R$2</f>
        <v>220</v>
      </c>
      <c r="G55" s="26" t="s">
        <v>4</v>
      </c>
      <c r="H55" s="31">
        <f>'2011 (Whites)'!$V$2</f>
        <v>150</v>
      </c>
      <c r="I55" s="26" t="s">
        <v>3</v>
      </c>
      <c r="J55" s="31">
        <f>'2011 (Whites)'!$R$2</f>
        <v>220</v>
      </c>
      <c r="K55" s="26" t="s">
        <v>4</v>
      </c>
      <c r="L55" s="31">
        <f>'2011 (Whites)'!$V$2</f>
        <v>150</v>
      </c>
    </row>
    <row r="56" spans="1:36" ht="12" customHeight="1" x14ac:dyDescent="0.25">
      <c r="A56" s="18" t="s">
        <v>7</v>
      </c>
      <c r="B56" s="31">
        <f>'2011 (Whites)'!$R$3</f>
        <v>200</v>
      </c>
      <c r="C56" s="18" t="s">
        <v>8</v>
      </c>
      <c r="D56" s="32">
        <f>'2011 (Whites)'!$V$3</f>
        <v>140</v>
      </c>
      <c r="E56" s="18" t="s">
        <v>7</v>
      </c>
      <c r="F56" s="31">
        <f>'2011 (Whites)'!$R$3</f>
        <v>200</v>
      </c>
      <c r="G56" s="18" t="s">
        <v>8</v>
      </c>
      <c r="H56" s="32">
        <f>'2011 (Whites)'!$V$3</f>
        <v>140</v>
      </c>
      <c r="I56" s="18" t="s">
        <v>7</v>
      </c>
      <c r="J56" s="31">
        <f>'2011 (Whites)'!$R$3</f>
        <v>200</v>
      </c>
      <c r="K56" s="18" t="s">
        <v>8</v>
      </c>
      <c r="L56" s="32">
        <f>'2011 (Whites)'!$V$3</f>
        <v>140</v>
      </c>
    </row>
    <row r="57" spans="1:36" ht="12" customHeight="1" x14ac:dyDescent="0.25">
      <c r="A57" s="18" t="s">
        <v>12</v>
      </c>
      <c r="B57" s="31">
        <f>'2011 (Whites)'!$R$4</f>
        <v>190</v>
      </c>
      <c r="C57" s="18" t="s">
        <v>13</v>
      </c>
      <c r="D57" s="31">
        <f>'2011 (Whites)'!$V$4</f>
        <v>130</v>
      </c>
      <c r="E57" s="18" t="s">
        <v>12</v>
      </c>
      <c r="F57" s="31">
        <f>'2011 (Whites)'!$R$4</f>
        <v>190</v>
      </c>
      <c r="G57" s="18" t="s">
        <v>13</v>
      </c>
      <c r="H57" s="31">
        <f>'2011 (Whites)'!$V$4</f>
        <v>130</v>
      </c>
      <c r="I57" s="18" t="s">
        <v>12</v>
      </c>
      <c r="J57" s="31">
        <f>'2011 (Whites)'!$R$4</f>
        <v>190</v>
      </c>
      <c r="K57" s="18" t="s">
        <v>13</v>
      </c>
      <c r="L57" s="31">
        <f>'2011 (Whites)'!$V$4</f>
        <v>130</v>
      </c>
    </row>
    <row r="58" spans="1:36" ht="12" customHeight="1" x14ac:dyDescent="0.25">
      <c r="A58" s="18" t="s">
        <v>17</v>
      </c>
      <c r="B58" s="31">
        <f>'2011 (Whites)'!$R$5</f>
        <v>180</v>
      </c>
      <c r="C58" s="18" t="s">
        <v>18</v>
      </c>
      <c r="D58" s="31">
        <f>'2011 (Whites)'!$V$5</f>
        <v>120</v>
      </c>
      <c r="E58" s="18" t="s">
        <v>17</v>
      </c>
      <c r="F58" s="31">
        <f>'2011 (Whites)'!$R$5</f>
        <v>180</v>
      </c>
      <c r="G58" s="18" t="s">
        <v>18</v>
      </c>
      <c r="H58" s="31">
        <f>'2011 (Whites)'!$V$5</f>
        <v>120</v>
      </c>
      <c r="I58" s="18" t="s">
        <v>17</v>
      </c>
      <c r="J58" s="31">
        <f>'2011 (Whites)'!$R$5</f>
        <v>180</v>
      </c>
      <c r="K58" s="18" t="s">
        <v>18</v>
      </c>
      <c r="L58" s="31">
        <f>'2011 (Whites)'!$V$5</f>
        <v>120</v>
      </c>
    </row>
    <row r="59" spans="1:36" ht="12" customHeight="1" x14ac:dyDescent="0.25">
      <c r="A59" s="18" t="s">
        <v>22</v>
      </c>
      <c r="B59" s="31">
        <f>'2011 (Whites)'!$R$6</f>
        <v>170</v>
      </c>
      <c r="C59" s="18" t="s">
        <v>23</v>
      </c>
      <c r="D59" s="34">
        <f>'2011 (Whites)'!$V$6</f>
        <v>110</v>
      </c>
      <c r="E59" s="18" t="s">
        <v>22</v>
      </c>
      <c r="F59" s="31">
        <f>'2011 (Whites)'!$R$6</f>
        <v>170</v>
      </c>
      <c r="G59" s="18" t="s">
        <v>23</v>
      </c>
      <c r="H59" s="34">
        <f>'2011 (Whites)'!$V$6</f>
        <v>110</v>
      </c>
      <c r="I59" s="18" t="s">
        <v>22</v>
      </c>
      <c r="J59" s="31">
        <f>'2011 (Whites)'!$R$6</f>
        <v>170</v>
      </c>
      <c r="K59" s="18" t="s">
        <v>23</v>
      </c>
      <c r="L59" s="34">
        <f>'2011 (Whites)'!$V$6</f>
        <v>110</v>
      </c>
    </row>
    <row r="60" spans="1:36" ht="18" customHeight="1" x14ac:dyDescent="0.25">
      <c r="A60" s="25" t="s">
        <v>27</v>
      </c>
      <c r="B60" s="32">
        <f>'2011 (Whites)'!$R$7</f>
        <v>160</v>
      </c>
      <c r="C60" s="25" t="s">
        <v>28</v>
      </c>
      <c r="D60" s="32">
        <f>'2011 (Whites)'!$V$7</f>
        <v>100</v>
      </c>
      <c r="E60" s="25" t="s">
        <v>27</v>
      </c>
      <c r="F60" s="32">
        <f>'2011 (Whites)'!$R$7</f>
        <v>160</v>
      </c>
      <c r="G60" s="25" t="s">
        <v>28</v>
      </c>
      <c r="H60" s="32">
        <f>'2011 (Whites)'!$V$7</f>
        <v>100</v>
      </c>
      <c r="I60" s="25" t="s">
        <v>27</v>
      </c>
      <c r="J60" s="32">
        <f>'2011 (Whites)'!$R$7</f>
        <v>160</v>
      </c>
      <c r="K60" s="25" t="s">
        <v>28</v>
      </c>
      <c r="L60" s="32">
        <f>'2011 (Whites)'!$V$7</f>
        <v>100</v>
      </c>
    </row>
  </sheetData>
  <pageMargins left="0.19" right="0.19" top="0.5" bottom="0" header="0.5" footer="0.5"/>
  <pageSetup scale="9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AD60"/>
  <sheetViews>
    <sheetView workbookViewId="0">
      <pane ySplit="10" topLeftCell="A11" activePane="bottomLeft" state="frozen"/>
      <selection pane="bottomLeft" activeCell="A11" sqref="A11"/>
    </sheetView>
  </sheetViews>
  <sheetFormatPr defaultRowHeight="15" x14ac:dyDescent="0.25"/>
  <cols>
    <col min="1" max="1" width="9.85546875" customWidth="1"/>
    <col min="2" max="2" width="16.42578125" customWidth="1"/>
    <col min="3" max="3" width="3" customWidth="1"/>
    <col min="4" max="11" width="3" style="1" customWidth="1"/>
    <col min="12" max="12" width="5.28515625" style="1" customWidth="1"/>
    <col min="13" max="21" width="3" style="1" customWidth="1"/>
    <col min="22" max="24" width="5.28515625" style="1" customWidth="1"/>
    <col min="25" max="25" width="2" style="1" customWidth="1"/>
    <col min="26" max="26" width="10.5703125" bestFit="1" customWidth="1"/>
    <col min="27" max="27" width="10.7109375" customWidth="1"/>
    <col min="28" max="28" width="19.85546875" style="44" customWidth="1"/>
    <col min="29" max="29" width="4.5703125" style="44" bestFit="1" customWidth="1"/>
    <col min="30" max="30" width="4.28515625" style="44" bestFit="1" customWidth="1"/>
  </cols>
  <sheetData>
    <row r="1" spans="1:30" x14ac:dyDescent="0.25">
      <c r="A1" s="2"/>
      <c r="B1" s="48" t="s">
        <v>39</v>
      </c>
      <c r="C1" s="49"/>
      <c r="D1" s="50" t="e">
        <f>ROUND(AVERAGE(W11:W60),0)</f>
        <v>#DIV/0!</v>
      </c>
      <c r="E1" s="51"/>
      <c r="G1" s="57" t="s">
        <v>2</v>
      </c>
      <c r="H1" s="58"/>
      <c r="I1" s="58"/>
      <c r="J1" s="58"/>
      <c r="K1" s="58"/>
      <c r="L1" s="58"/>
      <c r="M1" s="59">
        <f>MIN(W11:W60)</f>
        <v>0</v>
      </c>
      <c r="N1" s="60"/>
      <c r="P1" s="61" t="s">
        <v>0</v>
      </c>
      <c r="Q1" s="62"/>
      <c r="R1" s="62"/>
      <c r="S1" s="62"/>
      <c r="T1" s="62"/>
      <c r="U1" s="62"/>
      <c r="V1" s="63"/>
      <c r="Z1" s="35"/>
      <c r="AA1" s="35"/>
      <c r="AB1" s="41" t="s">
        <v>37</v>
      </c>
      <c r="AC1" s="41" t="s">
        <v>35</v>
      </c>
      <c r="AD1" s="41" t="s">
        <v>36</v>
      </c>
    </row>
    <row r="2" spans="1:30" x14ac:dyDescent="0.25">
      <c r="A2" s="2"/>
      <c r="B2" s="48" t="s">
        <v>5</v>
      </c>
      <c r="C2" s="49"/>
      <c r="D2" s="50">
        <f>COUNTIF(C11:V60,-2)</f>
        <v>0</v>
      </c>
      <c r="E2" s="51"/>
      <c r="G2" s="48" t="s">
        <v>6</v>
      </c>
      <c r="H2" s="49"/>
      <c r="I2" s="49"/>
      <c r="J2" s="49"/>
      <c r="K2" s="49"/>
      <c r="L2" s="49"/>
      <c r="M2" s="54" t="e">
        <f>D2/$M$7</f>
        <v>#DIV/0!</v>
      </c>
      <c r="N2" s="55"/>
      <c r="P2" s="46" t="s">
        <v>3</v>
      </c>
      <c r="Q2" s="47"/>
      <c r="R2" s="53">
        <v>220</v>
      </c>
      <c r="S2" s="53"/>
      <c r="T2" s="52" t="s">
        <v>4</v>
      </c>
      <c r="U2" s="47"/>
      <c r="V2" s="3">
        <v>150</v>
      </c>
      <c r="Z2" s="36"/>
      <c r="AA2" s="36"/>
      <c r="AB2" s="42"/>
      <c r="AC2" s="42"/>
      <c r="AD2" s="42" t="str">
        <f>IF(AC2&lt;&gt;"",AC2-72,"")</f>
        <v/>
      </c>
    </row>
    <row r="3" spans="1:30" x14ac:dyDescent="0.25">
      <c r="A3" s="2"/>
      <c r="B3" s="48" t="s">
        <v>10</v>
      </c>
      <c r="C3" s="49"/>
      <c r="D3" s="50">
        <f>COUNTIF(C11:V60,-1)</f>
        <v>0</v>
      </c>
      <c r="E3" s="51"/>
      <c r="G3" s="48" t="s">
        <v>11</v>
      </c>
      <c r="H3" s="49"/>
      <c r="I3" s="49"/>
      <c r="J3" s="49"/>
      <c r="K3" s="49"/>
      <c r="L3" s="49"/>
      <c r="M3" s="54" t="e">
        <f>D3/$M$7</f>
        <v>#DIV/0!</v>
      </c>
      <c r="N3" s="55"/>
      <c r="P3" s="46" t="s">
        <v>7</v>
      </c>
      <c r="Q3" s="47"/>
      <c r="R3" s="53">
        <v>200</v>
      </c>
      <c r="S3" s="53"/>
      <c r="T3" s="52" t="s">
        <v>8</v>
      </c>
      <c r="U3" s="47"/>
      <c r="V3" s="3">
        <v>140</v>
      </c>
      <c r="Z3" s="36"/>
      <c r="AA3" s="36"/>
      <c r="AB3" s="42" t="s">
        <v>9</v>
      </c>
      <c r="AC3" s="42">
        <v>72</v>
      </c>
      <c r="AD3" s="42">
        <f t="shared" ref="AD3:AD60" si="0">IF(AC3&lt;&gt;"",AC3-72,"")</f>
        <v>0</v>
      </c>
    </row>
    <row r="4" spans="1:30" x14ac:dyDescent="0.25">
      <c r="B4" s="48" t="s">
        <v>15</v>
      </c>
      <c r="C4" s="49"/>
      <c r="D4" s="50">
        <f>COUNTIF(C11:V60,0)</f>
        <v>0</v>
      </c>
      <c r="E4" s="51"/>
      <c r="G4" s="48" t="s">
        <v>16</v>
      </c>
      <c r="H4" s="49"/>
      <c r="I4" s="49"/>
      <c r="J4" s="49"/>
      <c r="K4" s="49"/>
      <c r="L4" s="49"/>
      <c r="M4" s="54" t="e">
        <f>D4/$M$7</f>
        <v>#DIV/0!</v>
      </c>
      <c r="N4" s="55"/>
      <c r="P4" s="46" t="s">
        <v>12</v>
      </c>
      <c r="Q4" s="47"/>
      <c r="R4" s="53">
        <v>190</v>
      </c>
      <c r="S4" s="53"/>
      <c r="T4" s="52" t="s">
        <v>13</v>
      </c>
      <c r="U4" s="47"/>
      <c r="V4" s="3">
        <v>130</v>
      </c>
      <c r="Z4" s="36"/>
      <c r="AA4" s="36"/>
      <c r="AB4" s="42" t="s">
        <v>24</v>
      </c>
      <c r="AC4" s="42">
        <v>72</v>
      </c>
      <c r="AD4" s="42">
        <f t="shared" si="0"/>
        <v>0</v>
      </c>
    </row>
    <row r="5" spans="1:30" x14ac:dyDescent="0.25">
      <c r="B5" s="48" t="s">
        <v>20</v>
      </c>
      <c r="C5" s="49"/>
      <c r="D5" s="50">
        <f>COUNTIF(C11:V60,1)</f>
        <v>0</v>
      </c>
      <c r="E5" s="51"/>
      <c r="G5" s="48" t="s">
        <v>21</v>
      </c>
      <c r="H5" s="49"/>
      <c r="I5" s="49"/>
      <c r="J5" s="49"/>
      <c r="K5" s="49"/>
      <c r="L5" s="49"/>
      <c r="M5" s="54" t="e">
        <f>D5/$M$7</f>
        <v>#DIV/0!</v>
      </c>
      <c r="N5" s="55"/>
      <c r="P5" s="56" t="s">
        <v>17</v>
      </c>
      <c r="Q5" s="47"/>
      <c r="R5" s="53">
        <v>180</v>
      </c>
      <c r="S5" s="53"/>
      <c r="T5" s="52" t="s">
        <v>18</v>
      </c>
      <c r="U5" s="47"/>
      <c r="V5" s="3">
        <v>120</v>
      </c>
      <c r="Z5" s="36"/>
      <c r="AA5" s="36"/>
      <c r="AB5" s="42" t="s">
        <v>19</v>
      </c>
      <c r="AC5" s="42">
        <v>72</v>
      </c>
      <c r="AD5" s="42">
        <f t="shared" si="0"/>
        <v>0</v>
      </c>
    </row>
    <row r="6" spans="1:30" x14ac:dyDescent="0.25">
      <c r="B6" s="48" t="s">
        <v>25</v>
      </c>
      <c r="C6" s="49"/>
      <c r="D6" s="50">
        <f>COUNTIF(C11:V60,2)</f>
        <v>0</v>
      </c>
      <c r="E6" s="51"/>
      <c r="G6" s="48" t="s">
        <v>26</v>
      </c>
      <c r="H6" s="49"/>
      <c r="I6" s="49"/>
      <c r="J6" s="49"/>
      <c r="K6" s="49"/>
      <c r="L6" s="49"/>
      <c r="M6" s="54" t="e">
        <f>D6/$M$7</f>
        <v>#DIV/0!</v>
      </c>
      <c r="N6" s="55"/>
      <c r="P6" s="56" t="s">
        <v>22</v>
      </c>
      <c r="Q6" s="47"/>
      <c r="R6" s="53">
        <v>170</v>
      </c>
      <c r="S6" s="53"/>
      <c r="T6" s="46" t="s">
        <v>23</v>
      </c>
      <c r="U6" s="47"/>
      <c r="V6" s="3">
        <v>110</v>
      </c>
      <c r="Z6" s="36"/>
      <c r="AA6" s="36"/>
      <c r="AB6" s="42" t="s">
        <v>34</v>
      </c>
      <c r="AC6" s="42">
        <v>70</v>
      </c>
      <c r="AD6" s="42">
        <f t="shared" si="0"/>
        <v>-2</v>
      </c>
    </row>
    <row r="7" spans="1:30" x14ac:dyDescent="0.25">
      <c r="B7" s="48" t="s">
        <v>40</v>
      </c>
      <c r="C7" s="49"/>
      <c r="D7" s="50">
        <f>COUNTA(A10:A60)-1</f>
        <v>0</v>
      </c>
      <c r="E7" s="51"/>
      <c r="G7" s="48" t="s">
        <v>38</v>
      </c>
      <c r="H7" s="49"/>
      <c r="I7" s="49"/>
      <c r="J7" s="49"/>
      <c r="K7" s="49"/>
      <c r="L7" s="49"/>
      <c r="M7" s="50">
        <f>COUNT(C11:K60)+COUNT(M11:U60)</f>
        <v>0</v>
      </c>
      <c r="N7" s="51"/>
      <c r="P7" s="52" t="s">
        <v>27</v>
      </c>
      <c r="Q7" s="47"/>
      <c r="R7" s="53">
        <v>160</v>
      </c>
      <c r="S7" s="53"/>
      <c r="T7" s="46" t="s">
        <v>28</v>
      </c>
      <c r="U7" s="47"/>
      <c r="V7" s="3">
        <v>100</v>
      </c>
      <c r="Z7" s="36"/>
      <c r="AA7" s="36"/>
      <c r="AB7" s="42" t="s">
        <v>14</v>
      </c>
      <c r="AC7" s="42">
        <v>72</v>
      </c>
      <c r="AD7" s="42">
        <f t="shared" si="0"/>
        <v>0</v>
      </c>
    </row>
    <row r="8" spans="1:30" x14ac:dyDescent="0.25">
      <c r="O8" s="37"/>
      <c r="P8" s="38"/>
      <c r="Q8" s="39"/>
      <c r="R8" s="40"/>
      <c r="S8" s="40"/>
      <c r="T8" s="39"/>
      <c r="U8" s="39"/>
      <c r="V8" s="40"/>
      <c r="W8" s="37"/>
      <c r="Z8" s="36"/>
      <c r="AA8" s="36"/>
      <c r="AB8" s="42"/>
      <c r="AC8" s="42"/>
      <c r="AD8" s="42" t="str">
        <f t="shared" si="0"/>
        <v/>
      </c>
    </row>
    <row r="9" spans="1:30" x14ac:dyDescent="0.25">
      <c r="Z9" s="36"/>
      <c r="AA9" s="36"/>
      <c r="AB9" s="42"/>
      <c r="AC9" s="42"/>
      <c r="AD9" s="42" t="str">
        <f t="shared" si="0"/>
        <v/>
      </c>
    </row>
    <row r="10" spans="1:30" s="6" customFormat="1" x14ac:dyDescent="0.25">
      <c r="A10" s="4" t="s">
        <v>29</v>
      </c>
      <c r="B10" s="4" t="s">
        <v>1</v>
      </c>
      <c r="C10" s="4">
        <v>1</v>
      </c>
      <c r="D10" s="4">
        <v>2</v>
      </c>
      <c r="E10" s="4">
        <v>3</v>
      </c>
      <c r="F10" s="4">
        <v>4</v>
      </c>
      <c r="G10" s="4">
        <v>5</v>
      </c>
      <c r="H10" s="4">
        <v>6</v>
      </c>
      <c r="I10" s="4">
        <v>7</v>
      </c>
      <c r="J10" s="4">
        <v>8</v>
      </c>
      <c r="K10" s="4">
        <v>9</v>
      </c>
      <c r="L10" s="5" t="s">
        <v>30</v>
      </c>
      <c r="M10" s="4">
        <v>10</v>
      </c>
      <c r="N10" s="4">
        <v>11</v>
      </c>
      <c r="O10" s="4">
        <v>12</v>
      </c>
      <c r="P10" s="4">
        <v>13</v>
      </c>
      <c r="Q10" s="4">
        <v>14</v>
      </c>
      <c r="R10" s="4">
        <v>15</v>
      </c>
      <c r="S10" s="4">
        <v>16</v>
      </c>
      <c r="T10" s="4">
        <v>17</v>
      </c>
      <c r="U10" s="4">
        <v>18</v>
      </c>
      <c r="V10" s="5" t="s">
        <v>31</v>
      </c>
      <c r="W10" s="4" t="s">
        <v>32</v>
      </c>
      <c r="X10" s="4" t="s">
        <v>33</v>
      </c>
      <c r="AB10" s="43"/>
      <c r="AC10" s="43"/>
      <c r="AD10" s="42" t="str">
        <f t="shared" si="0"/>
        <v/>
      </c>
    </row>
    <row r="11" spans="1:30" x14ac:dyDescent="0.25">
      <c r="A11" s="7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tr">
        <f t="shared" ref="L11:L42" si="1">IF(C11&lt;&gt;"",SUM(C11:K11),"")</f>
        <v/>
      </c>
      <c r="M11" s="9"/>
      <c r="N11" s="9"/>
      <c r="O11" s="9"/>
      <c r="P11" s="9"/>
      <c r="Q11" s="9"/>
      <c r="R11" s="9"/>
      <c r="S11" s="9"/>
      <c r="T11" s="9"/>
      <c r="U11" s="9"/>
      <c r="V11" s="10" t="str">
        <f t="shared" ref="V11:V42" si="2">IF(M11&lt;&gt;"",SUM(M11:U11),"")</f>
        <v/>
      </c>
      <c r="W11" s="11" t="str">
        <f t="shared" ref="W11:W42" si="3">IF(L11&lt;&gt;"",IF(M11="",(L11*2+(LOOKUP(B11,AB:AB,AD:AD)))+72,L11+V11+72+LOOKUP(B11,AB:AB,AD:AD)),"")</f>
        <v/>
      </c>
      <c r="X11" s="11" t="str">
        <f t="shared" ref="X11:X60" si="4">IF(W11&lt;&gt;"",W11-72,"")</f>
        <v/>
      </c>
      <c r="Y11"/>
      <c r="AB11" s="42"/>
      <c r="AC11" s="42"/>
      <c r="AD11" s="42" t="str">
        <f t="shared" si="0"/>
        <v/>
      </c>
    </row>
    <row r="12" spans="1:30" x14ac:dyDescent="0.25">
      <c r="A12" s="12"/>
      <c r="B12" s="13"/>
      <c r="C12" s="9"/>
      <c r="D12" s="9"/>
      <c r="E12" s="9"/>
      <c r="F12" s="9"/>
      <c r="G12" s="9"/>
      <c r="H12" s="9"/>
      <c r="I12" s="9"/>
      <c r="J12" s="9"/>
      <c r="K12" s="9"/>
      <c r="L12" s="10" t="str">
        <f t="shared" si="1"/>
        <v/>
      </c>
      <c r="M12" s="9"/>
      <c r="N12" s="9"/>
      <c r="O12" s="9"/>
      <c r="P12" s="9"/>
      <c r="Q12" s="9"/>
      <c r="R12" s="9"/>
      <c r="S12" s="9"/>
      <c r="T12" s="9"/>
      <c r="U12" s="9"/>
      <c r="V12" s="10" t="str">
        <f t="shared" si="2"/>
        <v/>
      </c>
      <c r="W12" s="11" t="str">
        <f t="shared" si="3"/>
        <v/>
      </c>
      <c r="X12" s="11" t="str">
        <f t="shared" si="4"/>
        <v/>
      </c>
      <c r="Y12"/>
      <c r="AB12" s="42"/>
      <c r="AC12" s="42"/>
      <c r="AD12" s="42" t="str">
        <f t="shared" si="0"/>
        <v/>
      </c>
    </row>
    <row r="13" spans="1:30" x14ac:dyDescent="0.25">
      <c r="A13" s="12"/>
      <c r="B13" s="13"/>
      <c r="C13" s="9"/>
      <c r="D13" s="9"/>
      <c r="E13" s="9"/>
      <c r="F13" s="9"/>
      <c r="G13" s="9"/>
      <c r="H13" s="9"/>
      <c r="I13" s="9"/>
      <c r="J13" s="9"/>
      <c r="K13" s="9"/>
      <c r="L13" s="10" t="str">
        <f t="shared" si="1"/>
        <v/>
      </c>
      <c r="M13" s="9"/>
      <c r="N13" s="9"/>
      <c r="O13" s="9"/>
      <c r="P13" s="9"/>
      <c r="Q13" s="9"/>
      <c r="R13" s="9"/>
      <c r="S13" s="9"/>
      <c r="T13" s="9"/>
      <c r="U13" s="9"/>
      <c r="V13" s="10" t="str">
        <f t="shared" si="2"/>
        <v/>
      </c>
      <c r="W13" s="11" t="str">
        <f t="shared" si="3"/>
        <v/>
      </c>
      <c r="X13" s="11" t="str">
        <f t="shared" si="4"/>
        <v/>
      </c>
      <c r="Y13"/>
      <c r="AB13" s="42"/>
      <c r="AC13" s="42"/>
      <c r="AD13" s="42" t="str">
        <f t="shared" si="0"/>
        <v/>
      </c>
    </row>
    <row r="14" spans="1:30" x14ac:dyDescent="0.25">
      <c r="A14" s="12"/>
      <c r="B14" s="13"/>
      <c r="C14" s="9"/>
      <c r="D14" s="9"/>
      <c r="E14" s="9"/>
      <c r="F14" s="9"/>
      <c r="G14" s="9"/>
      <c r="H14" s="9"/>
      <c r="I14" s="9"/>
      <c r="J14" s="9"/>
      <c r="K14" s="9"/>
      <c r="L14" s="10" t="str">
        <f t="shared" si="1"/>
        <v/>
      </c>
      <c r="M14" s="9"/>
      <c r="N14" s="9"/>
      <c r="O14" s="9"/>
      <c r="P14" s="9"/>
      <c r="Q14" s="9"/>
      <c r="R14" s="9"/>
      <c r="S14" s="9"/>
      <c r="T14" s="9"/>
      <c r="U14" s="9"/>
      <c r="V14" s="10" t="str">
        <f t="shared" si="2"/>
        <v/>
      </c>
      <c r="W14" s="11" t="str">
        <f t="shared" si="3"/>
        <v/>
      </c>
      <c r="X14" s="11" t="str">
        <f t="shared" si="4"/>
        <v/>
      </c>
      <c r="Y14"/>
      <c r="AB14" s="42"/>
      <c r="AC14" s="42"/>
      <c r="AD14" s="42" t="str">
        <f t="shared" si="0"/>
        <v/>
      </c>
    </row>
    <row r="15" spans="1:30" x14ac:dyDescent="0.25">
      <c r="A15" s="12"/>
      <c r="B15" s="13"/>
      <c r="C15" s="9"/>
      <c r="D15" s="9"/>
      <c r="E15" s="9"/>
      <c r="F15" s="9"/>
      <c r="G15" s="9"/>
      <c r="H15" s="9"/>
      <c r="I15" s="9"/>
      <c r="J15" s="9"/>
      <c r="K15" s="9"/>
      <c r="L15" s="10" t="str">
        <f t="shared" si="1"/>
        <v/>
      </c>
      <c r="M15" s="9"/>
      <c r="N15" s="9"/>
      <c r="O15" s="9"/>
      <c r="P15" s="9"/>
      <c r="Q15" s="9"/>
      <c r="R15" s="9"/>
      <c r="S15" s="9"/>
      <c r="T15" s="9"/>
      <c r="U15" s="9"/>
      <c r="V15" s="10" t="str">
        <f t="shared" si="2"/>
        <v/>
      </c>
      <c r="W15" s="11" t="str">
        <f t="shared" si="3"/>
        <v/>
      </c>
      <c r="X15" s="11" t="str">
        <f t="shared" si="4"/>
        <v/>
      </c>
      <c r="Y15"/>
      <c r="AB15" s="42"/>
      <c r="AC15" s="42"/>
      <c r="AD15" s="42" t="str">
        <f t="shared" si="0"/>
        <v/>
      </c>
    </row>
    <row r="16" spans="1:30" x14ac:dyDescent="0.25">
      <c r="A16" s="12"/>
      <c r="B16" s="13"/>
      <c r="C16" s="9"/>
      <c r="D16" s="9"/>
      <c r="E16" s="9"/>
      <c r="F16" s="9"/>
      <c r="G16" s="9"/>
      <c r="H16" s="9"/>
      <c r="I16" s="9"/>
      <c r="J16" s="9"/>
      <c r="K16" s="9"/>
      <c r="L16" s="10" t="str">
        <f t="shared" si="1"/>
        <v/>
      </c>
      <c r="M16" s="9"/>
      <c r="N16" s="9"/>
      <c r="O16" s="9"/>
      <c r="P16" s="9"/>
      <c r="Q16" s="9"/>
      <c r="R16" s="9"/>
      <c r="S16" s="9"/>
      <c r="T16" s="9"/>
      <c r="U16" s="9"/>
      <c r="V16" s="10" t="str">
        <f t="shared" si="2"/>
        <v/>
      </c>
      <c r="W16" s="11" t="str">
        <f t="shared" si="3"/>
        <v/>
      </c>
      <c r="X16" s="11" t="str">
        <f t="shared" si="4"/>
        <v/>
      </c>
      <c r="Y16"/>
      <c r="AB16" s="42"/>
      <c r="AC16" s="42"/>
      <c r="AD16" s="42" t="str">
        <f t="shared" si="0"/>
        <v/>
      </c>
    </row>
    <row r="17" spans="1:30" x14ac:dyDescent="0.25">
      <c r="A17" s="12"/>
      <c r="B17" s="13"/>
      <c r="C17" s="9"/>
      <c r="D17" s="9"/>
      <c r="E17" s="9"/>
      <c r="F17" s="9"/>
      <c r="G17" s="9"/>
      <c r="H17" s="9"/>
      <c r="I17" s="9"/>
      <c r="J17" s="9"/>
      <c r="K17" s="9"/>
      <c r="L17" s="10" t="str">
        <f t="shared" si="1"/>
        <v/>
      </c>
      <c r="M17" s="9"/>
      <c r="N17" s="9"/>
      <c r="O17" s="9"/>
      <c r="P17" s="9"/>
      <c r="Q17" s="9"/>
      <c r="R17" s="9"/>
      <c r="S17" s="9"/>
      <c r="T17" s="9"/>
      <c r="U17" s="9"/>
      <c r="V17" s="10" t="str">
        <f t="shared" si="2"/>
        <v/>
      </c>
      <c r="W17" s="11" t="str">
        <f t="shared" si="3"/>
        <v/>
      </c>
      <c r="X17" s="11" t="str">
        <f t="shared" si="4"/>
        <v/>
      </c>
      <c r="Y17"/>
      <c r="AB17" s="42"/>
      <c r="AC17" s="42"/>
      <c r="AD17" s="42" t="str">
        <f t="shared" si="0"/>
        <v/>
      </c>
    </row>
    <row r="18" spans="1:30" x14ac:dyDescent="0.25">
      <c r="A18" s="12"/>
      <c r="B18" s="13"/>
      <c r="C18" s="9"/>
      <c r="D18" s="9"/>
      <c r="E18" s="9"/>
      <c r="F18" s="9"/>
      <c r="G18" s="9"/>
      <c r="H18" s="9"/>
      <c r="I18" s="9"/>
      <c r="J18" s="9"/>
      <c r="K18" s="9"/>
      <c r="L18" s="10" t="str">
        <f t="shared" si="1"/>
        <v/>
      </c>
      <c r="M18" s="9"/>
      <c r="N18" s="9"/>
      <c r="O18" s="9"/>
      <c r="P18" s="9"/>
      <c r="Q18" s="9"/>
      <c r="R18" s="9"/>
      <c r="S18" s="9"/>
      <c r="T18" s="9"/>
      <c r="U18" s="9"/>
      <c r="V18" s="10" t="str">
        <f t="shared" si="2"/>
        <v/>
      </c>
      <c r="W18" s="11" t="str">
        <f t="shared" si="3"/>
        <v/>
      </c>
      <c r="X18" s="11" t="str">
        <f t="shared" si="4"/>
        <v/>
      </c>
      <c r="Y18"/>
      <c r="AB18" s="42"/>
      <c r="AC18" s="42"/>
      <c r="AD18" s="42" t="str">
        <f t="shared" si="0"/>
        <v/>
      </c>
    </row>
    <row r="19" spans="1:30" x14ac:dyDescent="0.25">
      <c r="A19" s="12"/>
      <c r="B19" s="13"/>
      <c r="C19" s="9"/>
      <c r="D19" s="9"/>
      <c r="E19" s="9"/>
      <c r="F19" s="9"/>
      <c r="G19" s="9"/>
      <c r="H19" s="9"/>
      <c r="I19" s="9"/>
      <c r="J19" s="9"/>
      <c r="K19" s="9"/>
      <c r="L19" s="10" t="str">
        <f t="shared" si="1"/>
        <v/>
      </c>
      <c r="M19" s="9"/>
      <c r="N19" s="9"/>
      <c r="O19" s="9"/>
      <c r="P19" s="9"/>
      <c r="Q19" s="9"/>
      <c r="R19" s="9"/>
      <c r="S19" s="9"/>
      <c r="T19" s="9"/>
      <c r="U19" s="9"/>
      <c r="V19" s="10" t="str">
        <f t="shared" si="2"/>
        <v/>
      </c>
      <c r="W19" s="11" t="str">
        <f t="shared" si="3"/>
        <v/>
      </c>
      <c r="X19" s="11" t="str">
        <f t="shared" si="4"/>
        <v/>
      </c>
      <c r="Y19"/>
      <c r="AB19" s="42"/>
      <c r="AC19" s="42"/>
      <c r="AD19" s="42" t="str">
        <f t="shared" si="0"/>
        <v/>
      </c>
    </row>
    <row r="20" spans="1:30" x14ac:dyDescent="0.25">
      <c r="A20" s="12"/>
      <c r="B20" s="13"/>
      <c r="C20" s="9"/>
      <c r="D20" s="9"/>
      <c r="E20" s="9"/>
      <c r="F20" s="9"/>
      <c r="G20" s="9"/>
      <c r="H20" s="9"/>
      <c r="I20" s="9"/>
      <c r="J20" s="9"/>
      <c r="K20" s="9"/>
      <c r="L20" s="10" t="str">
        <f t="shared" si="1"/>
        <v/>
      </c>
      <c r="M20" s="9"/>
      <c r="N20" s="9"/>
      <c r="O20" s="9"/>
      <c r="P20" s="9"/>
      <c r="Q20" s="9"/>
      <c r="R20" s="9"/>
      <c r="S20" s="9"/>
      <c r="T20" s="9"/>
      <c r="U20" s="9"/>
      <c r="V20" s="10" t="str">
        <f t="shared" si="2"/>
        <v/>
      </c>
      <c r="W20" s="11" t="str">
        <f t="shared" si="3"/>
        <v/>
      </c>
      <c r="X20" s="11" t="str">
        <f t="shared" si="4"/>
        <v/>
      </c>
      <c r="Y20"/>
      <c r="AB20" s="42"/>
      <c r="AC20" s="42"/>
      <c r="AD20" s="42" t="str">
        <f t="shared" si="0"/>
        <v/>
      </c>
    </row>
    <row r="21" spans="1:30" x14ac:dyDescent="0.25">
      <c r="A21" s="12"/>
      <c r="B21" s="13"/>
      <c r="C21" s="9"/>
      <c r="D21" s="9"/>
      <c r="E21" s="9"/>
      <c r="F21" s="9"/>
      <c r="G21" s="9"/>
      <c r="H21" s="9"/>
      <c r="I21" s="9"/>
      <c r="J21" s="9"/>
      <c r="K21" s="9"/>
      <c r="L21" s="10" t="str">
        <f t="shared" si="1"/>
        <v/>
      </c>
      <c r="M21" s="9"/>
      <c r="N21" s="9"/>
      <c r="O21" s="9"/>
      <c r="P21" s="9"/>
      <c r="Q21" s="9"/>
      <c r="R21" s="9"/>
      <c r="S21" s="9"/>
      <c r="T21" s="9"/>
      <c r="U21" s="9"/>
      <c r="V21" s="10" t="str">
        <f t="shared" si="2"/>
        <v/>
      </c>
      <c r="W21" s="11" t="str">
        <f t="shared" si="3"/>
        <v/>
      </c>
      <c r="X21" s="11" t="str">
        <f t="shared" si="4"/>
        <v/>
      </c>
      <c r="Y21"/>
      <c r="AB21" s="42"/>
      <c r="AC21" s="42"/>
      <c r="AD21" s="42" t="str">
        <f t="shared" si="0"/>
        <v/>
      </c>
    </row>
    <row r="22" spans="1:30" x14ac:dyDescent="0.25">
      <c r="A22" s="12"/>
      <c r="B22" s="13"/>
      <c r="C22" s="9"/>
      <c r="D22" s="9"/>
      <c r="E22" s="9"/>
      <c r="F22" s="9"/>
      <c r="G22" s="9"/>
      <c r="H22" s="9"/>
      <c r="I22" s="9"/>
      <c r="J22" s="9"/>
      <c r="K22" s="9"/>
      <c r="L22" s="10" t="str">
        <f t="shared" si="1"/>
        <v/>
      </c>
      <c r="M22" s="9"/>
      <c r="N22" s="9"/>
      <c r="O22" s="9"/>
      <c r="P22" s="9"/>
      <c r="Q22" s="9"/>
      <c r="R22" s="9"/>
      <c r="S22" s="9"/>
      <c r="T22" s="9"/>
      <c r="U22" s="9"/>
      <c r="V22" s="10" t="str">
        <f t="shared" si="2"/>
        <v/>
      </c>
      <c r="W22" s="11" t="str">
        <f t="shared" si="3"/>
        <v/>
      </c>
      <c r="X22" s="11" t="str">
        <f t="shared" si="4"/>
        <v/>
      </c>
      <c r="Y22"/>
      <c r="AB22" s="42"/>
      <c r="AC22" s="42"/>
      <c r="AD22" s="42" t="str">
        <f t="shared" si="0"/>
        <v/>
      </c>
    </row>
    <row r="23" spans="1:30" x14ac:dyDescent="0.25">
      <c r="A23" s="12"/>
      <c r="B23" s="13"/>
      <c r="C23" s="9"/>
      <c r="D23" s="9"/>
      <c r="E23" s="9"/>
      <c r="F23" s="9"/>
      <c r="G23" s="9"/>
      <c r="H23" s="9"/>
      <c r="I23" s="9"/>
      <c r="J23" s="9"/>
      <c r="K23" s="9"/>
      <c r="L23" s="10" t="str">
        <f t="shared" si="1"/>
        <v/>
      </c>
      <c r="M23" s="9"/>
      <c r="N23" s="9"/>
      <c r="O23" s="9"/>
      <c r="P23" s="9"/>
      <c r="Q23" s="9"/>
      <c r="R23" s="9"/>
      <c r="S23" s="9"/>
      <c r="T23" s="9"/>
      <c r="U23" s="9"/>
      <c r="V23" s="10" t="str">
        <f t="shared" si="2"/>
        <v/>
      </c>
      <c r="W23" s="11" t="str">
        <f t="shared" si="3"/>
        <v/>
      </c>
      <c r="X23" s="11" t="str">
        <f t="shared" si="4"/>
        <v/>
      </c>
      <c r="Y23"/>
      <c r="AB23" s="42"/>
      <c r="AC23" s="42"/>
      <c r="AD23" s="42" t="str">
        <f t="shared" si="0"/>
        <v/>
      </c>
    </row>
    <row r="24" spans="1:30" x14ac:dyDescent="0.25">
      <c r="A24" s="12"/>
      <c r="B24" s="13"/>
      <c r="C24" s="9"/>
      <c r="D24" s="9"/>
      <c r="E24" s="9"/>
      <c r="F24" s="9"/>
      <c r="G24" s="9"/>
      <c r="H24" s="9"/>
      <c r="I24" s="9"/>
      <c r="J24" s="9"/>
      <c r="K24" s="9"/>
      <c r="L24" s="10" t="str">
        <f t="shared" si="1"/>
        <v/>
      </c>
      <c r="M24" s="9"/>
      <c r="N24" s="9"/>
      <c r="O24" s="9"/>
      <c r="P24" s="9"/>
      <c r="Q24" s="9"/>
      <c r="R24" s="9"/>
      <c r="S24" s="9"/>
      <c r="T24" s="9"/>
      <c r="U24" s="9"/>
      <c r="V24" s="10" t="str">
        <f t="shared" si="2"/>
        <v/>
      </c>
      <c r="W24" s="11" t="str">
        <f t="shared" si="3"/>
        <v/>
      </c>
      <c r="X24" s="11" t="str">
        <f t="shared" si="4"/>
        <v/>
      </c>
      <c r="Y24"/>
      <c r="AB24" s="42"/>
      <c r="AC24" s="42"/>
      <c r="AD24" s="42" t="str">
        <f t="shared" si="0"/>
        <v/>
      </c>
    </row>
    <row r="25" spans="1:30" x14ac:dyDescent="0.25">
      <c r="A25" s="12"/>
      <c r="B25" s="13"/>
      <c r="C25" s="9"/>
      <c r="D25" s="9"/>
      <c r="E25" s="9"/>
      <c r="F25" s="9"/>
      <c r="G25" s="9"/>
      <c r="H25" s="9"/>
      <c r="I25" s="9"/>
      <c r="J25" s="9"/>
      <c r="K25" s="9"/>
      <c r="L25" s="10" t="str">
        <f t="shared" si="1"/>
        <v/>
      </c>
      <c r="M25" s="9"/>
      <c r="N25" s="9"/>
      <c r="O25" s="9"/>
      <c r="P25" s="9"/>
      <c r="Q25" s="9"/>
      <c r="R25" s="9"/>
      <c r="S25" s="9"/>
      <c r="T25" s="9"/>
      <c r="U25" s="9"/>
      <c r="V25" s="10" t="str">
        <f t="shared" si="2"/>
        <v/>
      </c>
      <c r="W25" s="11" t="str">
        <f t="shared" si="3"/>
        <v/>
      </c>
      <c r="X25" s="11" t="str">
        <f t="shared" si="4"/>
        <v/>
      </c>
      <c r="Y25"/>
      <c r="AB25" s="42"/>
      <c r="AC25" s="42"/>
      <c r="AD25" s="42" t="str">
        <f t="shared" si="0"/>
        <v/>
      </c>
    </row>
    <row r="26" spans="1:30" x14ac:dyDescent="0.25">
      <c r="A26" s="12"/>
      <c r="B26" s="13"/>
      <c r="C26" s="9"/>
      <c r="D26" s="9"/>
      <c r="E26" s="9"/>
      <c r="F26" s="9"/>
      <c r="G26" s="9"/>
      <c r="H26" s="9"/>
      <c r="I26" s="9"/>
      <c r="J26" s="9"/>
      <c r="K26" s="9"/>
      <c r="L26" s="10" t="str">
        <f t="shared" si="1"/>
        <v/>
      </c>
      <c r="M26" s="9"/>
      <c r="N26" s="9"/>
      <c r="O26" s="9"/>
      <c r="P26" s="9"/>
      <c r="Q26" s="9"/>
      <c r="R26" s="9"/>
      <c r="S26" s="9"/>
      <c r="T26" s="9"/>
      <c r="U26" s="9"/>
      <c r="V26" s="10" t="str">
        <f t="shared" si="2"/>
        <v/>
      </c>
      <c r="W26" s="11" t="str">
        <f t="shared" si="3"/>
        <v/>
      </c>
      <c r="X26" s="11" t="str">
        <f t="shared" si="4"/>
        <v/>
      </c>
      <c r="Y26"/>
      <c r="AB26" s="42"/>
      <c r="AC26" s="42"/>
      <c r="AD26" s="42" t="str">
        <f t="shared" si="0"/>
        <v/>
      </c>
    </row>
    <row r="27" spans="1:30" x14ac:dyDescent="0.25">
      <c r="A27" s="12"/>
      <c r="B27" s="13"/>
      <c r="C27" s="9"/>
      <c r="D27" s="9"/>
      <c r="E27" s="9"/>
      <c r="F27" s="9"/>
      <c r="G27" s="9"/>
      <c r="H27" s="9"/>
      <c r="I27" s="9"/>
      <c r="J27" s="9"/>
      <c r="K27" s="9"/>
      <c r="L27" s="10" t="str">
        <f t="shared" si="1"/>
        <v/>
      </c>
      <c r="M27" s="9"/>
      <c r="N27" s="9"/>
      <c r="O27" s="9"/>
      <c r="P27" s="9"/>
      <c r="Q27" s="9"/>
      <c r="R27" s="9"/>
      <c r="S27" s="9"/>
      <c r="T27" s="9"/>
      <c r="U27" s="9"/>
      <c r="V27" s="10" t="str">
        <f t="shared" si="2"/>
        <v/>
      </c>
      <c r="W27" s="11" t="str">
        <f t="shared" si="3"/>
        <v/>
      </c>
      <c r="X27" s="11" t="str">
        <f t="shared" si="4"/>
        <v/>
      </c>
      <c r="Y27"/>
      <c r="AB27" s="42"/>
      <c r="AC27" s="42"/>
      <c r="AD27" s="42" t="str">
        <f t="shared" si="0"/>
        <v/>
      </c>
    </row>
    <row r="28" spans="1:30" x14ac:dyDescent="0.25">
      <c r="A28" s="12"/>
      <c r="B28" s="13"/>
      <c r="C28" s="9"/>
      <c r="D28" s="9"/>
      <c r="E28" s="9"/>
      <c r="F28" s="9"/>
      <c r="G28" s="9"/>
      <c r="H28" s="9"/>
      <c r="I28" s="9"/>
      <c r="J28" s="9"/>
      <c r="K28" s="9"/>
      <c r="L28" s="10" t="str">
        <f t="shared" si="1"/>
        <v/>
      </c>
      <c r="M28" s="9"/>
      <c r="N28" s="9"/>
      <c r="O28" s="9"/>
      <c r="P28" s="9"/>
      <c r="Q28" s="9"/>
      <c r="R28" s="9"/>
      <c r="S28" s="9"/>
      <c r="T28" s="9"/>
      <c r="U28" s="9"/>
      <c r="V28" s="10" t="str">
        <f t="shared" si="2"/>
        <v/>
      </c>
      <c r="W28" s="11" t="str">
        <f t="shared" si="3"/>
        <v/>
      </c>
      <c r="X28" s="11" t="str">
        <f t="shared" si="4"/>
        <v/>
      </c>
      <c r="Y28"/>
      <c r="AB28" s="42"/>
      <c r="AC28" s="42"/>
      <c r="AD28" s="42" t="str">
        <f t="shared" si="0"/>
        <v/>
      </c>
    </row>
    <row r="29" spans="1:30" x14ac:dyDescent="0.25">
      <c r="A29" s="12"/>
      <c r="B29" s="13"/>
      <c r="C29" s="9"/>
      <c r="D29" s="9"/>
      <c r="E29" s="9"/>
      <c r="F29" s="9"/>
      <c r="G29" s="9"/>
      <c r="H29" s="9"/>
      <c r="I29" s="9"/>
      <c r="J29" s="9"/>
      <c r="K29" s="9"/>
      <c r="L29" s="10" t="str">
        <f t="shared" si="1"/>
        <v/>
      </c>
      <c r="M29" s="9"/>
      <c r="N29" s="9"/>
      <c r="O29" s="9"/>
      <c r="P29" s="9"/>
      <c r="Q29" s="9"/>
      <c r="R29" s="9"/>
      <c r="S29" s="9"/>
      <c r="T29" s="9"/>
      <c r="U29" s="9"/>
      <c r="V29" s="10" t="str">
        <f t="shared" si="2"/>
        <v/>
      </c>
      <c r="W29" s="11" t="str">
        <f t="shared" si="3"/>
        <v/>
      </c>
      <c r="X29" s="11" t="str">
        <f t="shared" si="4"/>
        <v/>
      </c>
      <c r="Y29"/>
      <c r="AB29" s="42"/>
      <c r="AC29" s="42"/>
      <c r="AD29" s="42" t="str">
        <f t="shared" si="0"/>
        <v/>
      </c>
    </row>
    <row r="30" spans="1:30" x14ac:dyDescent="0.25">
      <c r="A30" s="12"/>
      <c r="B30" s="13"/>
      <c r="C30" s="9"/>
      <c r="D30" s="9"/>
      <c r="E30" s="9"/>
      <c r="F30" s="9"/>
      <c r="G30" s="9"/>
      <c r="H30" s="9"/>
      <c r="I30" s="9"/>
      <c r="J30" s="9"/>
      <c r="K30" s="9"/>
      <c r="L30" s="10" t="str">
        <f t="shared" si="1"/>
        <v/>
      </c>
      <c r="M30" s="9"/>
      <c r="N30" s="9"/>
      <c r="O30" s="9"/>
      <c r="P30" s="9"/>
      <c r="Q30" s="9"/>
      <c r="R30" s="9"/>
      <c r="S30" s="9"/>
      <c r="T30" s="9"/>
      <c r="U30" s="9"/>
      <c r="V30" s="10" t="str">
        <f t="shared" si="2"/>
        <v/>
      </c>
      <c r="W30" s="11" t="str">
        <f t="shared" si="3"/>
        <v/>
      </c>
      <c r="X30" s="11" t="str">
        <f t="shared" si="4"/>
        <v/>
      </c>
      <c r="Y30"/>
      <c r="AB30" s="42"/>
      <c r="AC30" s="42"/>
      <c r="AD30" s="42" t="str">
        <f t="shared" si="0"/>
        <v/>
      </c>
    </row>
    <row r="31" spans="1:30" x14ac:dyDescent="0.25">
      <c r="A31" s="12"/>
      <c r="B31" s="13"/>
      <c r="C31" s="9"/>
      <c r="D31" s="9"/>
      <c r="E31" s="9"/>
      <c r="F31" s="9"/>
      <c r="G31" s="9"/>
      <c r="H31" s="9"/>
      <c r="I31" s="9"/>
      <c r="J31" s="9"/>
      <c r="K31" s="9"/>
      <c r="L31" s="10" t="str">
        <f t="shared" si="1"/>
        <v/>
      </c>
      <c r="M31" s="9"/>
      <c r="N31" s="9"/>
      <c r="O31" s="9"/>
      <c r="P31" s="9"/>
      <c r="Q31" s="9"/>
      <c r="R31" s="9"/>
      <c r="S31" s="9"/>
      <c r="T31" s="9"/>
      <c r="U31" s="9"/>
      <c r="V31" s="10" t="str">
        <f t="shared" si="2"/>
        <v/>
      </c>
      <c r="W31" s="11" t="str">
        <f t="shared" si="3"/>
        <v/>
      </c>
      <c r="X31" s="11" t="str">
        <f t="shared" si="4"/>
        <v/>
      </c>
      <c r="Y31"/>
      <c r="AB31" s="42"/>
      <c r="AC31" s="42"/>
      <c r="AD31" s="42" t="str">
        <f t="shared" si="0"/>
        <v/>
      </c>
    </row>
    <row r="32" spans="1:30" x14ac:dyDescent="0.25">
      <c r="A32" s="12"/>
      <c r="B32" s="13"/>
      <c r="C32" s="9"/>
      <c r="D32" s="9"/>
      <c r="E32" s="9"/>
      <c r="F32" s="9"/>
      <c r="G32" s="9"/>
      <c r="H32" s="9"/>
      <c r="I32" s="9"/>
      <c r="J32" s="9"/>
      <c r="K32" s="9"/>
      <c r="L32" s="10" t="str">
        <f t="shared" si="1"/>
        <v/>
      </c>
      <c r="M32" s="9"/>
      <c r="N32" s="9"/>
      <c r="O32" s="9"/>
      <c r="P32" s="9"/>
      <c r="Q32" s="9"/>
      <c r="R32" s="9"/>
      <c r="S32" s="9"/>
      <c r="T32" s="9"/>
      <c r="U32" s="9"/>
      <c r="V32" s="10" t="str">
        <f t="shared" si="2"/>
        <v/>
      </c>
      <c r="W32" s="11" t="str">
        <f t="shared" si="3"/>
        <v/>
      </c>
      <c r="X32" s="11" t="str">
        <f t="shared" si="4"/>
        <v/>
      </c>
      <c r="Y32"/>
      <c r="AB32" s="42"/>
      <c r="AC32" s="42"/>
      <c r="AD32" s="42" t="str">
        <f t="shared" si="0"/>
        <v/>
      </c>
    </row>
    <row r="33" spans="1:30" x14ac:dyDescent="0.25">
      <c r="A33" s="12"/>
      <c r="B33" s="13"/>
      <c r="C33" s="9"/>
      <c r="D33" s="9"/>
      <c r="E33" s="9"/>
      <c r="F33" s="9"/>
      <c r="G33" s="9"/>
      <c r="H33" s="9"/>
      <c r="I33" s="9"/>
      <c r="J33" s="9"/>
      <c r="K33" s="9"/>
      <c r="L33" s="10" t="str">
        <f t="shared" si="1"/>
        <v/>
      </c>
      <c r="M33" s="9"/>
      <c r="N33" s="9"/>
      <c r="O33" s="9"/>
      <c r="P33" s="9"/>
      <c r="Q33" s="9"/>
      <c r="R33" s="9"/>
      <c r="S33" s="9"/>
      <c r="T33" s="9"/>
      <c r="U33" s="9"/>
      <c r="V33" s="10" t="str">
        <f t="shared" si="2"/>
        <v/>
      </c>
      <c r="W33" s="11" t="str">
        <f t="shared" si="3"/>
        <v/>
      </c>
      <c r="X33" s="11" t="str">
        <f t="shared" si="4"/>
        <v/>
      </c>
      <c r="Y33"/>
      <c r="AB33" s="42"/>
      <c r="AC33" s="42"/>
      <c r="AD33" s="42" t="str">
        <f t="shared" si="0"/>
        <v/>
      </c>
    </row>
    <row r="34" spans="1:30" x14ac:dyDescent="0.25">
      <c r="A34" s="12"/>
      <c r="B34" s="13"/>
      <c r="C34" s="9"/>
      <c r="D34" s="9"/>
      <c r="E34" s="9"/>
      <c r="F34" s="9"/>
      <c r="G34" s="9"/>
      <c r="H34" s="9"/>
      <c r="I34" s="9"/>
      <c r="J34" s="9"/>
      <c r="K34" s="9"/>
      <c r="L34" s="10" t="str">
        <f t="shared" si="1"/>
        <v/>
      </c>
      <c r="M34" s="9"/>
      <c r="N34" s="9"/>
      <c r="O34" s="9"/>
      <c r="P34" s="9"/>
      <c r="Q34" s="9"/>
      <c r="R34" s="9"/>
      <c r="S34" s="9"/>
      <c r="T34" s="9"/>
      <c r="U34" s="9"/>
      <c r="V34" s="10" t="str">
        <f t="shared" si="2"/>
        <v/>
      </c>
      <c r="W34" s="11" t="str">
        <f t="shared" si="3"/>
        <v/>
      </c>
      <c r="X34" s="11" t="str">
        <f t="shared" si="4"/>
        <v/>
      </c>
      <c r="Y34"/>
      <c r="AB34" s="42"/>
      <c r="AC34" s="42"/>
      <c r="AD34" s="42" t="str">
        <f t="shared" si="0"/>
        <v/>
      </c>
    </row>
    <row r="35" spans="1:30" x14ac:dyDescent="0.25">
      <c r="A35" s="12"/>
      <c r="B35" s="13"/>
      <c r="C35" s="9"/>
      <c r="D35" s="9"/>
      <c r="E35" s="9"/>
      <c r="F35" s="9"/>
      <c r="G35" s="9"/>
      <c r="H35" s="9"/>
      <c r="I35" s="9"/>
      <c r="J35" s="9"/>
      <c r="K35" s="9"/>
      <c r="L35" s="10" t="str">
        <f t="shared" si="1"/>
        <v/>
      </c>
      <c r="M35" s="9"/>
      <c r="N35" s="9"/>
      <c r="O35" s="9"/>
      <c r="P35" s="9"/>
      <c r="Q35" s="9"/>
      <c r="R35" s="9"/>
      <c r="S35" s="9"/>
      <c r="T35" s="9"/>
      <c r="U35" s="9"/>
      <c r="V35" s="10" t="str">
        <f t="shared" si="2"/>
        <v/>
      </c>
      <c r="W35" s="11" t="str">
        <f t="shared" si="3"/>
        <v/>
      </c>
      <c r="X35" s="11" t="str">
        <f t="shared" si="4"/>
        <v/>
      </c>
      <c r="Y35"/>
      <c r="AB35" s="42"/>
      <c r="AC35" s="42"/>
      <c r="AD35" s="42" t="str">
        <f t="shared" si="0"/>
        <v/>
      </c>
    </row>
    <row r="36" spans="1:30" x14ac:dyDescent="0.25">
      <c r="A36" s="12"/>
      <c r="B36" s="13"/>
      <c r="C36" s="9"/>
      <c r="D36" s="9"/>
      <c r="E36" s="9"/>
      <c r="F36" s="9"/>
      <c r="G36" s="9"/>
      <c r="H36" s="9"/>
      <c r="I36" s="9"/>
      <c r="J36" s="9"/>
      <c r="K36" s="9"/>
      <c r="L36" s="10" t="str">
        <f t="shared" si="1"/>
        <v/>
      </c>
      <c r="M36" s="9"/>
      <c r="N36" s="9"/>
      <c r="O36" s="9"/>
      <c r="P36" s="9"/>
      <c r="Q36" s="9"/>
      <c r="R36" s="9"/>
      <c r="S36" s="9"/>
      <c r="T36" s="9"/>
      <c r="U36" s="9"/>
      <c r="V36" s="10" t="str">
        <f t="shared" si="2"/>
        <v/>
      </c>
      <c r="W36" s="11" t="str">
        <f t="shared" si="3"/>
        <v/>
      </c>
      <c r="X36" s="11" t="str">
        <f t="shared" si="4"/>
        <v/>
      </c>
      <c r="Y36"/>
      <c r="AB36" s="42"/>
      <c r="AC36" s="42"/>
      <c r="AD36" s="42" t="str">
        <f t="shared" si="0"/>
        <v/>
      </c>
    </row>
    <row r="37" spans="1:30" x14ac:dyDescent="0.25">
      <c r="A37" s="12"/>
      <c r="B37" s="13"/>
      <c r="C37" s="9"/>
      <c r="D37" s="9"/>
      <c r="E37" s="9"/>
      <c r="F37" s="9"/>
      <c r="G37" s="9"/>
      <c r="H37" s="9"/>
      <c r="I37" s="9"/>
      <c r="J37" s="9"/>
      <c r="K37" s="9"/>
      <c r="L37" s="10" t="str">
        <f t="shared" si="1"/>
        <v/>
      </c>
      <c r="M37" s="9"/>
      <c r="N37" s="9"/>
      <c r="O37" s="9"/>
      <c r="P37" s="9"/>
      <c r="Q37" s="9"/>
      <c r="R37" s="9"/>
      <c r="S37" s="9"/>
      <c r="T37" s="9"/>
      <c r="U37" s="9"/>
      <c r="V37" s="10" t="str">
        <f t="shared" si="2"/>
        <v/>
      </c>
      <c r="W37" s="11" t="str">
        <f t="shared" si="3"/>
        <v/>
      </c>
      <c r="X37" s="11" t="str">
        <f t="shared" si="4"/>
        <v/>
      </c>
      <c r="Y37"/>
      <c r="AB37" s="42"/>
      <c r="AC37" s="42"/>
      <c r="AD37" s="42" t="str">
        <f t="shared" si="0"/>
        <v/>
      </c>
    </row>
    <row r="38" spans="1:30" x14ac:dyDescent="0.25">
      <c r="A38" s="12"/>
      <c r="B38" s="13"/>
      <c r="C38" s="9"/>
      <c r="D38" s="9"/>
      <c r="E38" s="9"/>
      <c r="F38" s="9"/>
      <c r="G38" s="9"/>
      <c r="H38" s="9"/>
      <c r="I38" s="9"/>
      <c r="J38" s="9"/>
      <c r="K38" s="9"/>
      <c r="L38" s="10" t="str">
        <f t="shared" si="1"/>
        <v/>
      </c>
      <c r="M38" s="9"/>
      <c r="N38" s="9"/>
      <c r="O38" s="9"/>
      <c r="P38" s="9"/>
      <c r="Q38" s="9"/>
      <c r="R38" s="9"/>
      <c r="S38" s="9"/>
      <c r="T38" s="9"/>
      <c r="U38" s="9"/>
      <c r="V38" s="10" t="str">
        <f t="shared" si="2"/>
        <v/>
      </c>
      <c r="W38" s="11" t="str">
        <f t="shared" si="3"/>
        <v/>
      </c>
      <c r="X38" s="11" t="str">
        <f t="shared" si="4"/>
        <v/>
      </c>
      <c r="Y38"/>
      <c r="AB38" s="42"/>
      <c r="AC38" s="42"/>
      <c r="AD38" s="42" t="str">
        <f t="shared" si="0"/>
        <v/>
      </c>
    </row>
    <row r="39" spans="1:30" x14ac:dyDescent="0.25">
      <c r="A39" s="12"/>
      <c r="B39" s="13"/>
      <c r="C39" s="9"/>
      <c r="D39" s="9"/>
      <c r="E39" s="9"/>
      <c r="F39" s="9"/>
      <c r="G39" s="9"/>
      <c r="H39" s="9"/>
      <c r="I39" s="9"/>
      <c r="J39" s="9"/>
      <c r="K39" s="9"/>
      <c r="L39" s="10" t="str">
        <f t="shared" si="1"/>
        <v/>
      </c>
      <c r="M39" s="9"/>
      <c r="N39" s="9"/>
      <c r="O39" s="9"/>
      <c r="P39" s="9"/>
      <c r="Q39" s="9"/>
      <c r="R39" s="9"/>
      <c r="S39" s="9"/>
      <c r="T39" s="9"/>
      <c r="U39" s="9"/>
      <c r="V39" s="10" t="str">
        <f t="shared" si="2"/>
        <v/>
      </c>
      <c r="W39" s="11" t="str">
        <f t="shared" si="3"/>
        <v/>
      </c>
      <c r="X39" s="11" t="str">
        <f t="shared" si="4"/>
        <v/>
      </c>
      <c r="Y39"/>
      <c r="AB39" s="42"/>
      <c r="AC39" s="42"/>
      <c r="AD39" s="42" t="str">
        <f t="shared" si="0"/>
        <v/>
      </c>
    </row>
    <row r="40" spans="1:30" x14ac:dyDescent="0.25">
      <c r="A40" s="12"/>
      <c r="B40" s="13"/>
      <c r="C40" s="9"/>
      <c r="D40" s="9"/>
      <c r="E40" s="9"/>
      <c r="F40" s="9"/>
      <c r="G40" s="9"/>
      <c r="H40" s="9"/>
      <c r="I40" s="9"/>
      <c r="J40" s="9"/>
      <c r="K40" s="9"/>
      <c r="L40" s="10" t="str">
        <f t="shared" si="1"/>
        <v/>
      </c>
      <c r="M40" s="9"/>
      <c r="N40" s="9"/>
      <c r="O40" s="9"/>
      <c r="P40" s="9"/>
      <c r="Q40" s="9"/>
      <c r="R40" s="9"/>
      <c r="S40" s="9"/>
      <c r="T40" s="9"/>
      <c r="U40" s="9"/>
      <c r="V40" s="10" t="str">
        <f t="shared" si="2"/>
        <v/>
      </c>
      <c r="W40" s="11" t="str">
        <f t="shared" si="3"/>
        <v/>
      </c>
      <c r="X40" s="11" t="str">
        <f t="shared" si="4"/>
        <v/>
      </c>
      <c r="Y40"/>
      <c r="AB40" s="42"/>
      <c r="AC40" s="42"/>
      <c r="AD40" s="42" t="str">
        <f t="shared" si="0"/>
        <v/>
      </c>
    </row>
    <row r="41" spans="1:30" x14ac:dyDescent="0.25">
      <c r="A41" s="12"/>
      <c r="B41" s="13"/>
      <c r="C41" s="9"/>
      <c r="D41" s="9"/>
      <c r="E41" s="9"/>
      <c r="F41" s="9"/>
      <c r="G41" s="9"/>
      <c r="H41" s="9"/>
      <c r="I41" s="9"/>
      <c r="J41" s="9"/>
      <c r="K41" s="9"/>
      <c r="L41" s="10" t="str">
        <f t="shared" si="1"/>
        <v/>
      </c>
      <c r="M41" s="9"/>
      <c r="N41" s="9"/>
      <c r="O41" s="9"/>
      <c r="P41" s="9"/>
      <c r="Q41" s="9"/>
      <c r="R41" s="9"/>
      <c r="S41" s="9"/>
      <c r="T41" s="9"/>
      <c r="U41" s="9"/>
      <c r="V41" s="10" t="str">
        <f t="shared" si="2"/>
        <v/>
      </c>
      <c r="W41" s="11" t="str">
        <f t="shared" si="3"/>
        <v/>
      </c>
      <c r="X41" s="11" t="str">
        <f t="shared" si="4"/>
        <v/>
      </c>
      <c r="Y41"/>
      <c r="AB41" s="42"/>
      <c r="AC41" s="42"/>
      <c r="AD41" s="42" t="str">
        <f t="shared" si="0"/>
        <v/>
      </c>
    </row>
    <row r="42" spans="1:30" x14ac:dyDescent="0.25">
      <c r="A42" s="12"/>
      <c r="B42" s="13"/>
      <c r="C42" s="9"/>
      <c r="D42" s="9"/>
      <c r="E42" s="9"/>
      <c r="F42" s="9"/>
      <c r="G42" s="9"/>
      <c r="H42" s="9"/>
      <c r="I42" s="9"/>
      <c r="J42" s="9"/>
      <c r="K42" s="9"/>
      <c r="L42" s="10" t="str">
        <f t="shared" si="1"/>
        <v/>
      </c>
      <c r="M42" s="9"/>
      <c r="N42" s="9"/>
      <c r="O42" s="9"/>
      <c r="P42" s="9"/>
      <c r="Q42" s="9"/>
      <c r="R42" s="9"/>
      <c r="S42" s="9"/>
      <c r="T42" s="9"/>
      <c r="U42" s="9"/>
      <c r="V42" s="10" t="str">
        <f t="shared" si="2"/>
        <v/>
      </c>
      <c r="W42" s="11" t="str">
        <f t="shared" si="3"/>
        <v/>
      </c>
      <c r="X42" s="11" t="str">
        <f t="shared" si="4"/>
        <v/>
      </c>
      <c r="Y42"/>
      <c r="AB42" s="42"/>
      <c r="AC42" s="42"/>
      <c r="AD42" s="42" t="str">
        <f t="shared" si="0"/>
        <v/>
      </c>
    </row>
    <row r="43" spans="1:30" x14ac:dyDescent="0.25">
      <c r="A43" s="12"/>
      <c r="B43" s="13"/>
      <c r="C43" s="9"/>
      <c r="D43" s="9"/>
      <c r="E43" s="9"/>
      <c r="F43" s="9"/>
      <c r="G43" s="9"/>
      <c r="H43" s="9"/>
      <c r="I43" s="9"/>
      <c r="J43" s="9"/>
      <c r="K43" s="9"/>
      <c r="L43" s="10" t="str">
        <f t="shared" ref="L43:L60" si="5">IF(C43&lt;&gt;"",SUM(C43:K43),"")</f>
        <v/>
      </c>
      <c r="M43" s="9"/>
      <c r="N43" s="9"/>
      <c r="O43" s="9"/>
      <c r="P43" s="9"/>
      <c r="Q43" s="9"/>
      <c r="R43" s="9"/>
      <c r="S43" s="9"/>
      <c r="T43" s="9"/>
      <c r="U43" s="9"/>
      <c r="V43" s="10" t="str">
        <f t="shared" ref="V43:V60" si="6">IF(M43&lt;&gt;"",SUM(M43:U43),"")</f>
        <v/>
      </c>
      <c r="W43" s="11" t="str">
        <f t="shared" ref="W43:W60" si="7">IF(L43&lt;&gt;"",IF(M43="",(L43*2+(LOOKUP(B43,AB:AB,AD:AD)))+72,L43+V43+72+LOOKUP(B43,AB:AB,AD:AD)),"")</f>
        <v/>
      </c>
      <c r="X43" s="11" t="str">
        <f t="shared" si="4"/>
        <v/>
      </c>
      <c r="Y43"/>
      <c r="AB43" s="42"/>
      <c r="AC43" s="42"/>
      <c r="AD43" s="42" t="str">
        <f t="shared" si="0"/>
        <v/>
      </c>
    </row>
    <row r="44" spans="1:30" x14ac:dyDescent="0.25">
      <c r="A44" s="12"/>
      <c r="B44" s="13"/>
      <c r="C44" s="9"/>
      <c r="D44" s="9"/>
      <c r="E44" s="9"/>
      <c r="F44" s="9"/>
      <c r="G44" s="9"/>
      <c r="H44" s="9"/>
      <c r="I44" s="9"/>
      <c r="J44" s="9"/>
      <c r="K44" s="9"/>
      <c r="L44" s="10" t="str">
        <f t="shared" si="5"/>
        <v/>
      </c>
      <c r="M44" s="9"/>
      <c r="N44" s="9"/>
      <c r="O44" s="9"/>
      <c r="P44" s="9"/>
      <c r="Q44" s="9"/>
      <c r="R44" s="9"/>
      <c r="S44" s="9"/>
      <c r="T44" s="9"/>
      <c r="U44" s="9"/>
      <c r="V44" s="10" t="str">
        <f t="shared" si="6"/>
        <v/>
      </c>
      <c r="W44" s="11" t="str">
        <f t="shared" si="7"/>
        <v/>
      </c>
      <c r="X44" s="11" t="str">
        <f t="shared" si="4"/>
        <v/>
      </c>
      <c r="Y44"/>
      <c r="AB44" s="42"/>
      <c r="AC44" s="42"/>
      <c r="AD44" s="42" t="str">
        <f t="shared" si="0"/>
        <v/>
      </c>
    </row>
    <row r="45" spans="1:30" x14ac:dyDescent="0.25">
      <c r="A45" s="12"/>
      <c r="B45" s="13"/>
      <c r="C45" s="9"/>
      <c r="D45" s="9"/>
      <c r="E45" s="9"/>
      <c r="F45" s="9"/>
      <c r="G45" s="9"/>
      <c r="H45" s="9"/>
      <c r="I45" s="9"/>
      <c r="J45" s="9"/>
      <c r="K45" s="9"/>
      <c r="L45" s="10" t="str">
        <f t="shared" si="5"/>
        <v/>
      </c>
      <c r="M45" s="9"/>
      <c r="N45" s="9"/>
      <c r="O45" s="9"/>
      <c r="P45" s="9"/>
      <c r="Q45" s="9"/>
      <c r="R45" s="9"/>
      <c r="S45" s="9"/>
      <c r="T45" s="9"/>
      <c r="U45" s="9"/>
      <c r="V45" s="10" t="str">
        <f t="shared" si="6"/>
        <v/>
      </c>
      <c r="W45" s="11" t="str">
        <f t="shared" si="7"/>
        <v/>
      </c>
      <c r="X45" s="11" t="str">
        <f t="shared" si="4"/>
        <v/>
      </c>
      <c r="Y45"/>
      <c r="AB45" s="42"/>
      <c r="AC45" s="42"/>
      <c r="AD45" s="42" t="str">
        <f t="shared" si="0"/>
        <v/>
      </c>
    </row>
    <row r="46" spans="1:30" x14ac:dyDescent="0.25">
      <c r="A46" s="12"/>
      <c r="B46" s="13"/>
      <c r="C46" s="9"/>
      <c r="D46" s="9"/>
      <c r="E46" s="9"/>
      <c r="F46" s="9"/>
      <c r="G46" s="9"/>
      <c r="H46" s="9"/>
      <c r="I46" s="9"/>
      <c r="J46" s="9"/>
      <c r="K46" s="9"/>
      <c r="L46" s="10" t="str">
        <f t="shared" si="5"/>
        <v/>
      </c>
      <c r="M46" s="9"/>
      <c r="N46" s="9"/>
      <c r="O46" s="9"/>
      <c r="P46" s="9"/>
      <c r="Q46" s="9"/>
      <c r="R46" s="9"/>
      <c r="S46" s="9"/>
      <c r="T46" s="9"/>
      <c r="U46" s="9"/>
      <c r="V46" s="10" t="str">
        <f t="shared" si="6"/>
        <v/>
      </c>
      <c r="W46" s="11" t="str">
        <f t="shared" si="7"/>
        <v/>
      </c>
      <c r="X46" s="11" t="str">
        <f t="shared" si="4"/>
        <v/>
      </c>
      <c r="Y46"/>
      <c r="AB46" s="42"/>
      <c r="AC46" s="42"/>
      <c r="AD46" s="42" t="str">
        <f t="shared" si="0"/>
        <v/>
      </c>
    </row>
    <row r="47" spans="1:30" x14ac:dyDescent="0.25">
      <c r="A47" s="12"/>
      <c r="B47" s="13"/>
      <c r="C47" s="9"/>
      <c r="D47" s="9"/>
      <c r="E47" s="9"/>
      <c r="F47" s="9"/>
      <c r="G47" s="9"/>
      <c r="H47" s="9"/>
      <c r="I47" s="9"/>
      <c r="J47" s="9"/>
      <c r="K47" s="9"/>
      <c r="L47" s="10" t="str">
        <f t="shared" si="5"/>
        <v/>
      </c>
      <c r="M47" s="9"/>
      <c r="N47" s="9"/>
      <c r="O47" s="9"/>
      <c r="P47" s="9"/>
      <c r="Q47" s="9"/>
      <c r="R47" s="9"/>
      <c r="S47" s="9"/>
      <c r="T47" s="9"/>
      <c r="U47" s="9"/>
      <c r="V47" s="10" t="str">
        <f t="shared" si="6"/>
        <v/>
      </c>
      <c r="W47" s="11" t="str">
        <f t="shared" si="7"/>
        <v/>
      </c>
      <c r="X47" s="11" t="str">
        <f t="shared" si="4"/>
        <v/>
      </c>
      <c r="Y47"/>
      <c r="AB47" s="42"/>
      <c r="AC47" s="42"/>
      <c r="AD47" s="42" t="str">
        <f t="shared" si="0"/>
        <v/>
      </c>
    </row>
    <row r="48" spans="1:30" x14ac:dyDescent="0.25">
      <c r="A48" s="12"/>
      <c r="B48" s="13"/>
      <c r="C48" s="9"/>
      <c r="D48" s="9"/>
      <c r="E48" s="9"/>
      <c r="F48" s="9"/>
      <c r="G48" s="9"/>
      <c r="H48" s="9"/>
      <c r="I48" s="9"/>
      <c r="J48" s="9"/>
      <c r="K48" s="9"/>
      <c r="L48" s="10" t="str">
        <f t="shared" si="5"/>
        <v/>
      </c>
      <c r="M48" s="9"/>
      <c r="N48" s="9"/>
      <c r="O48" s="9"/>
      <c r="P48" s="9"/>
      <c r="Q48" s="9"/>
      <c r="R48" s="9"/>
      <c r="S48" s="9"/>
      <c r="T48" s="9"/>
      <c r="U48" s="9"/>
      <c r="V48" s="10" t="str">
        <f t="shared" si="6"/>
        <v/>
      </c>
      <c r="W48" s="11" t="str">
        <f t="shared" si="7"/>
        <v/>
      </c>
      <c r="X48" s="11" t="str">
        <f t="shared" si="4"/>
        <v/>
      </c>
      <c r="Y48"/>
      <c r="AB48" s="42"/>
      <c r="AC48" s="42"/>
      <c r="AD48" s="42" t="str">
        <f t="shared" si="0"/>
        <v/>
      </c>
    </row>
    <row r="49" spans="1:30" x14ac:dyDescent="0.25">
      <c r="A49" s="12"/>
      <c r="B49" s="13"/>
      <c r="C49" s="9"/>
      <c r="D49" s="9"/>
      <c r="E49" s="9"/>
      <c r="F49" s="9"/>
      <c r="G49" s="9"/>
      <c r="H49" s="9"/>
      <c r="I49" s="9"/>
      <c r="J49" s="9"/>
      <c r="K49" s="9"/>
      <c r="L49" s="10" t="str">
        <f t="shared" si="5"/>
        <v/>
      </c>
      <c r="M49" s="9"/>
      <c r="N49" s="9"/>
      <c r="O49" s="9"/>
      <c r="P49" s="9"/>
      <c r="Q49" s="9"/>
      <c r="R49" s="9"/>
      <c r="S49" s="9"/>
      <c r="T49" s="9"/>
      <c r="U49" s="9"/>
      <c r="V49" s="10" t="str">
        <f t="shared" si="6"/>
        <v/>
      </c>
      <c r="W49" s="11" t="str">
        <f t="shared" si="7"/>
        <v/>
      </c>
      <c r="X49" s="11" t="str">
        <f t="shared" si="4"/>
        <v/>
      </c>
      <c r="Y49"/>
      <c r="AB49" s="42"/>
      <c r="AC49" s="42"/>
      <c r="AD49" s="42" t="str">
        <f t="shared" si="0"/>
        <v/>
      </c>
    </row>
    <row r="50" spans="1:30" x14ac:dyDescent="0.25">
      <c r="A50" s="12"/>
      <c r="B50" s="13"/>
      <c r="C50" s="9"/>
      <c r="D50" s="9"/>
      <c r="E50" s="9"/>
      <c r="F50" s="9"/>
      <c r="G50" s="9"/>
      <c r="H50" s="9"/>
      <c r="I50" s="9"/>
      <c r="J50" s="9"/>
      <c r="K50" s="9"/>
      <c r="L50" s="10" t="str">
        <f t="shared" si="5"/>
        <v/>
      </c>
      <c r="M50" s="9"/>
      <c r="N50" s="9"/>
      <c r="O50" s="9"/>
      <c r="P50" s="9"/>
      <c r="Q50" s="9"/>
      <c r="R50" s="9"/>
      <c r="S50" s="9"/>
      <c r="T50" s="9"/>
      <c r="U50" s="9"/>
      <c r="V50" s="10" t="str">
        <f t="shared" si="6"/>
        <v/>
      </c>
      <c r="W50" s="11" t="str">
        <f t="shared" si="7"/>
        <v/>
      </c>
      <c r="X50" s="11" t="str">
        <f t="shared" si="4"/>
        <v/>
      </c>
      <c r="Y50"/>
      <c r="AB50" s="42"/>
      <c r="AC50" s="42"/>
      <c r="AD50" s="42" t="str">
        <f t="shared" si="0"/>
        <v/>
      </c>
    </row>
    <row r="51" spans="1:30" x14ac:dyDescent="0.25">
      <c r="A51" s="12"/>
      <c r="B51" s="13"/>
      <c r="C51" s="9"/>
      <c r="D51" s="9"/>
      <c r="E51" s="9"/>
      <c r="F51" s="9"/>
      <c r="G51" s="9"/>
      <c r="H51" s="9"/>
      <c r="I51" s="9"/>
      <c r="J51" s="9"/>
      <c r="K51" s="9"/>
      <c r="L51" s="10" t="str">
        <f t="shared" si="5"/>
        <v/>
      </c>
      <c r="M51" s="9"/>
      <c r="N51" s="9"/>
      <c r="O51" s="9"/>
      <c r="P51" s="9"/>
      <c r="Q51" s="9"/>
      <c r="R51" s="9"/>
      <c r="S51" s="9"/>
      <c r="T51" s="9"/>
      <c r="U51" s="9"/>
      <c r="V51" s="10" t="str">
        <f t="shared" si="6"/>
        <v/>
      </c>
      <c r="W51" s="11" t="str">
        <f t="shared" si="7"/>
        <v/>
      </c>
      <c r="X51" s="11" t="str">
        <f t="shared" si="4"/>
        <v/>
      </c>
      <c r="Y51"/>
      <c r="AB51" s="42"/>
      <c r="AC51" s="42"/>
      <c r="AD51" s="42" t="str">
        <f t="shared" si="0"/>
        <v/>
      </c>
    </row>
    <row r="52" spans="1:30" x14ac:dyDescent="0.25">
      <c r="A52" s="12"/>
      <c r="B52" s="13"/>
      <c r="C52" s="9"/>
      <c r="D52" s="9"/>
      <c r="E52" s="9"/>
      <c r="F52" s="9"/>
      <c r="G52" s="9"/>
      <c r="H52" s="9"/>
      <c r="I52" s="9"/>
      <c r="J52" s="9"/>
      <c r="K52" s="9"/>
      <c r="L52" s="10" t="str">
        <f t="shared" si="5"/>
        <v/>
      </c>
      <c r="M52" s="9"/>
      <c r="N52" s="9"/>
      <c r="O52" s="9"/>
      <c r="P52" s="9"/>
      <c r="Q52" s="9"/>
      <c r="R52" s="9"/>
      <c r="S52" s="9"/>
      <c r="T52" s="9"/>
      <c r="U52" s="9"/>
      <c r="V52" s="10" t="str">
        <f t="shared" si="6"/>
        <v/>
      </c>
      <c r="W52" s="11" t="str">
        <f t="shared" si="7"/>
        <v/>
      </c>
      <c r="X52" s="11" t="str">
        <f t="shared" si="4"/>
        <v/>
      </c>
      <c r="Y52"/>
      <c r="AB52" s="42"/>
      <c r="AC52" s="42"/>
      <c r="AD52" s="42" t="str">
        <f t="shared" si="0"/>
        <v/>
      </c>
    </row>
    <row r="53" spans="1:30" x14ac:dyDescent="0.25">
      <c r="A53" s="12"/>
      <c r="B53" s="13"/>
      <c r="C53" s="9"/>
      <c r="D53" s="9"/>
      <c r="E53" s="9"/>
      <c r="F53" s="9"/>
      <c r="G53" s="9"/>
      <c r="H53" s="9"/>
      <c r="I53" s="9"/>
      <c r="J53" s="9"/>
      <c r="K53" s="9"/>
      <c r="L53" s="10" t="str">
        <f t="shared" si="5"/>
        <v/>
      </c>
      <c r="M53" s="9"/>
      <c r="N53" s="9"/>
      <c r="O53" s="9"/>
      <c r="P53" s="9"/>
      <c r="Q53" s="9"/>
      <c r="R53" s="9"/>
      <c r="S53" s="9"/>
      <c r="T53" s="9"/>
      <c r="U53" s="9"/>
      <c r="V53" s="10" t="str">
        <f t="shared" si="6"/>
        <v/>
      </c>
      <c r="W53" s="11" t="str">
        <f t="shared" si="7"/>
        <v/>
      </c>
      <c r="X53" s="11" t="str">
        <f t="shared" si="4"/>
        <v/>
      </c>
      <c r="Y53"/>
      <c r="AB53" s="42"/>
      <c r="AC53" s="42"/>
      <c r="AD53" s="42" t="str">
        <f t="shared" si="0"/>
        <v/>
      </c>
    </row>
    <row r="54" spans="1:30" x14ac:dyDescent="0.25">
      <c r="A54" s="12"/>
      <c r="B54" s="13"/>
      <c r="C54" s="9"/>
      <c r="D54" s="9"/>
      <c r="E54" s="9"/>
      <c r="F54" s="9"/>
      <c r="G54" s="9"/>
      <c r="H54" s="9"/>
      <c r="I54" s="9"/>
      <c r="J54" s="9"/>
      <c r="K54" s="9"/>
      <c r="L54" s="10" t="str">
        <f t="shared" si="5"/>
        <v/>
      </c>
      <c r="M54" s="9"/>
      <c r="N54" s="9"/>
      <c r="O54" s="9"/>
      <c r="P54" s="9"/>
      <c r="Q54" s="9"/>
      <c r="R54" s="9"/>
      <c r="S54" s="9"/>
      <c r="T54" s="9"/>
      <c r="U54" s="9"/>
      <c r="V54" s="10" t="str">
        <f t="shared" si="6"/>
        <v/>
      </c>
      <c r="W54" s="11" t="str">
        <f t="shared" si="7"/>
        <v/>
      </c>
      <c r="X54" s="11" t="str">
        <f t="shared" si="4"/>
        <v/>
      </c>
      <c r="Y54"/>
      <c r="AB54" s="42"/>
      <c r="AC54" s="42"/>
      <c r="AD54" s="42" t="str">
        <f t="shared" si="0"/>
        <v/>
      </c>
    </row>
    <row r="55" spans="1:30" x14ac:dyDescent="0.25">
      <c r="A55" s="12"/>
      <c r="B55" s="13"/>
      <c r="C55" s="9"/>
      <c r="D55" s="9"/>
      <c r="E55" s="9"/>
      <c r="F55" s="9"/>
      <c r="G55" s="9"/>
      <c r="H55" s="9"/>
      <c r="I55" s="9"/>
      <c r="J55" s="9"/>
      <c r="K55" s="9"/>
      <c r="L55" s="10" t="str">
        <f t="shared" si="5"/>
        <v/>
      </c>
      <c r="M55" s="9"/>
      <c r="N55" s="9"/>
      <c r="O55" s="9"/>
      <c r="P55" s="9"/>
      <c r="Q55" s="9"/>
      <c r="R55" s="9"/>
      <c r="S55" s="9"/>
      <c r="T55" s="9"/>
      <c r="U55" s="9"/>
      <c r="V55" s="10" t="str">
        <f t="shared" si="6"/>
        <v/>
      </c>
      <c r="W55" s="11" t="str">
        <f t="shared" si="7"/>
        <v/>
      </c>
      <c r="X55" s="11" t="str">
        <f t="shared" si="4"/>
        <v/>
      </c>
      <c r="Y55"/>
      <c r="AB55" s="42"/>
      <c r="AC55" s="42"/>
      <c r="AD55" s="42" t="str">
        <f t="shared" si="0"/>
        <v/>
      </c>
    </row>
    <row r="56" spans="1:30" x14ac:dyDescent="0.25">
      <c r="A56" s="12"/>
      <c r="B56" s="13"/>
      <c r="C56" s="9"/>
      <c r="D56" s="9"/>
      <c r="E56" s="9"/>
      <c r="F56" s="9"/>
      <c r="G56" s="9"/>
      <c r="H56" s="9"/>
      <c r="I56" s="9"/>
      <c r="J56" s="9"/>
      <c r="K56" s="9"/>
      <c r="L56" s="10" t="str">
        <f t="shared" si="5"/>
        <v/>
      </c>
      <c r="M56" s="9"/>
      <c r="N56" s="9"/>
      <c r="O56" s="9"/>
      <c r="P56" s="9"/>
      <c r="Q56" s="9"/>
      <c r="R56" s="9"/>
      <c r="S56" s="9"/>
      <c r="T56" s="9"/>
      <c r="U56" s="9"/>
      <c r="V56" s="10" t="str">
        <f t="shared" si="6"/>
        <v/>
      </c>
      <c r="W56" s="11" t="str">
        <f t="shared" si="7"/>
        <v/>
      </c>
      <c r="X56" s="11" t="str">
        <f t="shared" si="4"/>
        <v/>
      </c>
      <c r="Y56"/>
      <c r="AB56" s="42"/>
      <c r="AC56" s="42"/>
      <c r="AD56" s="42" t="str">
        <f t="shared" si="0"/>
        <v/>
      </c>
    </row>
    <row r="57" spans="1:30" x14ac:dyDescent="0.25">
      <c r="A57" s="12"/>
      <c r="B57" s="13"/>
      <c r="C57" s="9"/>
      <c r="D57" s="9"/>
      <c r="E57" s="9"/>
      <c r="F57" s="9"/>
      <c r="G57" s="9"/>
      <c r="H57" s="9"/>
      <c r="I57" s="9"/>
      <c r="J57" s="9"/>
      <c r="K57" s="9"/>
      <c r="L57" s="10" t="str">
        <f t="shared" si="5"/>
        <v/>
      </c>
      <c r="M57" s="9"/>
      <c r="N57" s="9"/>
      <c r="O57" s="9"/>
      <c r="P57" s="9"/>
      <c r="Q57" s="9"/>
      <c r="R57" s="9"/>
      <c r="S57" s="9"/>
      <c r="T57" s="9"/>
      <c r="U57" s="9"/>
      <c r="V57" s="10" t="str">
        <f t="shared" si="6"/>
        <v/>
      </c>
      <c r="W57" s="11" t="str">
        <f t="shared" si="7"/>
        <v/>
      </c>
      <c r="X57" s="11" t="str">
        <f t="shared" si="4"/>
        <v/>
      </c>
      <c r="Y57"/>
      <c r="AB57" s="42"/>
      <c r="AC57" s="42"/>
      <c r="AD57" s="42" t="str">
        <f t="shared" si="0"/>
        <v/>
      </c>
    </row>
    <row r="58" spans="1:30" x14ac:dyDescent="0.25">
      <c r="A58" s="12"/>
      <c r="B58" s="13"/>
      <c r="C58" s="9"/>
      <c r="D58" s="9"/>
      <c r="E58" s="9"/>
      <c r="F58" s="9"/>
      <c r="G58" s="9"/>
      <c r="H58" s="9"/>
      <c r="I58" s="9"/>
      <c r="J58" s="9"/>
      <c r="K58" s="9"/>
      <c r="L58" s="10" t="str">
        <f t="shared" si="5"/>
        <v/>
      </c>
      <c r="M58" s="9"/>
      <c r="N58" s="9"/>
      <c r="O58" s="9"/>
      <c r="P58" s="9"/>
      <c r="Q58" s="9"/>
      <c r="R58" s="9"/>
      <c r="S58" s="9"/>
      <c r="T58" s="9"/>
      <c r="U58" s="9"/>
      <c r="V58" s="10" t="str">
        <f t="shared" si="6"/>
        <v/>
      </c>
      <c r="W58" s="11" t="str">
        <f t="shared" si="7"/>
        <v/>
      </c>
      <c r="X58" s="11" t="str">
        <f t="shared" si="4"/>
        <v/>
      </c>
      <c r="Y58"/>
      <c r="AB58" s="42"/>
      <c r="AC58" s="42"/>
      <c r="AD58" s="42" t="str">
        <f t="shared" si="0"/>
        <v/>
      </c>
    </row>
    <row r="59" spans="1:30" x14ac:dyDescent="0.25">
      <c r="A59" s="12"/>
      <c r="B59" s="13"/>
      <c r="C59" s="9"/>
      <c r="D59" s="9"/>
      <c r="E59" s="9"/>
      <c r="F59" s="9"/>
      <c r="G59" s="9"/>
      <c r="H59" s="9"/>
      <c r="I59" s="9"/>
      <c r="J59" s="9"/>
      <c r="K59" s="9"/>
      <c r="L59" s="10" t="str">
        <f t="shared" si="5"/>
        <v/>
      </c>
      <c r="M59" s="9"/>
      <c r="N59" s="9"/>
      <c r="O59" s="9"/>
      <c r="P59" s="9"/>
      <c r="Q59" s="9"/>
      <c r="R59" s="9"/>
      <c r="S59" s="9"/>
      <c r="T59" s="9"/>
      <c r="U59" s="9"/>
      <c r="V59" s="10" t="str">
        <f t="shared" si="6"/>
        <v/>
      </c>
      <c r="W59" s="11" t="str">
        <f t="shared" si="7"/>
        <v/>
      </c>
      <c r="X59" s="11" t="str">
        <f t="shared" si="4"/>
        <v/>
      </c>
      <c r="Y59"/>
      <c r="AB59" s="42"/>
      <c r="AC59" s="42"/>
      <c r="AD59" s="42" t="str">
        <f t="shared" si="0"/>
        <v/>
      </c>
    </row>
    <row r="60" spans="1:30" x14ac:dyDescent="0.25">
      <c r="A60" s="45"/>
      <c r="B60" s="14"/>
      <c r="C60" s="15"/>
      <c r="D60" s="15"/>
      <c r="E60" s="15"/>
      <c r="F60" s="15"/>
      <c r="G60" s="15"/>
      <c r="H60" s="15"/>
      <c r="I60" s="15"/>
      <c r="J60" s="15"/>
      <c r="K60" s="15"/>
      <c r="L60" s="16" t="str">
        <f t="shared" si="5"/>
        <v/>
      </c>
      <c r="M60" s="15"/>
      <c r="N60" s="15"/>
      <c r="O60" s="15"/>
      <c r="P60" s="15"/>
      <c r="Q60" s="15"/>
      <c r="R60" s="15"/>
      <c r="S60" s="15"/>
      <c r="T60" s="15"/>
      <c r="U60" s="15"/>
      <c r="V60" s="16" t="str">
        <f t="shared" si="6"/>
        <v/>
      </c>
      <c r="W60" s="17" t="str">
        <f t="shared" si="7"/>
        <v/>
      </c>
      <c r="X60" s="17" t="str">
        <f t="shared" si="4"/>
        <v/>
      </c>
      <c r="Y60"/>
      <c r="AB60" s="42"/>
      <c r="AC60" s="42"/>
      <c r="AD60" s="42" t="str">
        <f t="shared" si="0"/>
        <v/>
      </c>
    </row>
  </sheetData>
  <sheetProtection sheet="1" objects="1" scenarios="1" selectLockedCells="1"/>
  <mergeCells count="47">
    <mergeCell ref="B1:C1"/>
    <mergeCell ref="D1:E1"/>
    <mergeCell ref="G1:L1"/>
    <mergeCell ref="M1:N1"/>
    <mergeCell ref="P1:V1"/>
    <mergeCell ref="R2:S2"/>
    <mergeCell ref="T2:U2"/>
    <mergeCell ref="B3:C3"/>
    <mergeCell ref="D3:E3"/>
    <mergeCell ref="G3:L3"/>
    <mergeCell ref="M3:N3"/>
    <mergeCell ref="P3:Q3"/>
    <mergeCell ref="R3:S3"/>
    <mergeCell ref="T3:U3"/>
    <mergeCell ref="B2:C2"/>
    <mergeCell ref="D2:E2"/>
    <mergeCell ref="G2:L2"/>
    <mergeCell ref="M2:N2"/>
    <mergeCell ref="P2:Q2"/>
    <mergeCell ref="T4:U4"/>
    <mergeCell ref="B5:C5"/>
    <mergeCell ref="D5:E5"/>
    <mergeCell ref="G5:L5"/>
    <mergeCell ref="M5:N5"/>
    <mergeCell ref="P5:Q5"/>
    <mergeCell ref="R5:S5"/>
    <mergeCell ref="T5:U5"/>
    <mergeCell ref="B4:C4"/>
    <mergeCell ref="D4:E4"/>
    <mergeCell ref="G4:L4"/>
    <mergeCell ref="M4:N4"/>
    <mergeCell ref="P4:Q4"/>
    <mergeCell ref="R4:S4"/>
    <mergeCell ref="T6:U6"/>
    <mergeCell ref="B7:C7"/>
    <mergeCell ref="D7:E7"/>
    <mergeCell ref="G7:L7"/>
    <mergeCell ref="M7:N7"/>
    <mergeCell ref="P7:Q7"/>
    <mergeCell ref="R7:S7"/>
    <mergeCell ref="T7:U7"/>
    <mergeCell ref="B6:C6"/>
    <mergeCell ref="D6:E6"/>
    <mergeCell ref="G6:L6"/>
    <mergeCell ref="M6:N6"/>
    <mergeCell ref="P6:Q6"/>
    <mergeCell ref="R6:S6"/>
  </mergeCells>
  <dataValidations count="1">
    <dataValidation type="list" allowBlank="1" showInputMessage="1" showErrorMessage="1" sqref="B11:B60" xr:uid="{00000000-0002-0000-0100-000000000000}">
      <formula1>$AB:$AB</formula1>
    </dataValidation>
  </dataValidations>
  <printOptions horizontalCentered="1"/>
  <pageMargins left="0.7" right="0.7" top="0.75" bottom="0.75" header="0.3" footer="0.3"/>
  <pageSetup scale="76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60"/>
  <sheetViews>
    <sheetView workbookViewId="0">
      <pane ySplit="10" topLeftCell="A11" activePane="bottomLeft" state="frozen"/>
      <selection pane="bottomLeft" activeCell="A40" sqref="A40"/>
    </sheetView>
  </sheetViews>
  <sheetFormatPr defaultRowHeight="15" x14ac:dyDescent="0.25"/>
  <cols>
    <col min="1" max="1" width="9.85546875" customWidth="1"/>
    <col min="2" max="2" width="16.42578125" customWidth="1"/>
    <col min="3" max="3" width="3" customWidth="1"/>
    <col min="4" max="11" width="3" style="1" customWidth="1"/>
    <col min="12" max="12" width="5.28515625" style="1" customWidth="1"/>
    <col min="13" max="21" width="3" style="1" customWidth="1"/>
    <col min="22" max="24" width="5.28515625" style="1" customWidth="1"/>
    <col min="25" max="25" width="2" style="1" customWidth="1"/>
    <col min="26" max="26" width="10.5703125" bestFit="1" customWidth="1"/>
    <col min="27" max="27" width="10.7109375" customWidth="1"/>
    <col min="28" max="28" width="19.85546875" style="44" customWidth="1"/>
    <col min="29" max="29" width="4.5703125" style="44" bestFit="1" customWidth="1"/>
    <col min="30" max="30" width="4.28515625" style="44" bestFit="1" customWidth="1"/>
  </cols>
  <sheetData>
    <row r="1" spans="1:30" x14ac:dyDescent="0.25">
      <c r="A1" s="2"/>
      <c r="B1" s="48" t="s">
        <v>39</v>
      </c>
      <c r="C1" s="49"/>
      <c r="D1" s="50">
        <f>ROUND(AVERAGE(W11:W60),0)</f>
        <v>102</v>
      </c>
      <c r="E1" s="51"/>
      <c r="G1" s="57" t="s">
        <v>2</v>
      </c>
      <c r="H1" s="58"/>
      <c r="I1" s="58"/>
      <c r="J1" s="58"/>
      <c r="K1" s="58"/>
      <c r="L1" s="58"/>
      <c r="M1" s="59">
        <f>MIN(W11:W60)</f>
        <v>84</v>
      </c>
      <c r="N1" s="60"/>
      <c r="P1" s="61" t="s">
        <v>0</v>
      </c>
      <c r="Q1" s="62"/>
      <c r="R1" s="62"/>
      <c r="S1" s="62"/>
      <c r="T1" s="62"/>
      <c r="U1" s="62"/>
      <c r="V1" s="63"/>
      <c r="Z1" s="35"/>
      <c r="AA1" s="35"/>
      <c r="AB1" s="41" t="s">
        <v>37</v>
      </c>
      <c r="AC1" s="41" t="s">
        <v>35</v>
      </c>
      <c r="AD1" s="41" t="s">
        <v>36</v>
      </c>
    </row>
    <row r="2" spans="1:30" x14ac:dyDescent="0.25">
      <c r="A2" s="2"/>
      <c r="B2" s="48" t="s">
        <v>42</v>
      </c>
      <c r="C2" s="49"/>
      <c r="D2" s="50">
        <f>AVERAGEIF(X:X,"&gt;0")</f>
        <v>29.586206896551722</v>
      </c>
      <c r="E2" s="51"/>
      <c r="G2" s="48"/>
      <c r="H2" s="49"/>
      <c r="I2" s="49"/>
      <c r="J2" s="49"/>
      <c r="K2" s="49"/>
      <c r="L2" s="49"/>
      <c r="M2" s="54"/>
      <c r="N2" s="55"/>
      <c r="P2" s="46" t="s">
        <v>3</v>
      </c>
      <c r="Q2" s="47"/>
      <c r="R2" s="53">
        <v>220</v>
      </c>
      <c r="S2" s="53"/>
      <c r="T2" s="52" t="s">
        <v>4</v>
      </c>
      <c r="U2" s="47"/>
      <c r="V2" s="3">
        <v>150</v>
      </c>
      <c r="Z2" s="36"/>
      <c r="AA2" s="36"/>
      <c r="AB2" s="42"/>
      <c r="AC2" s="42"/>
      <c r="AD2" s="42" t="str">
        <f>IF(AC2&lt;&gt;"",AC2-72,"")</f>
        <v/>
      </c>
    </row>
    <row r="3" spans="1:30" x14ac:dyDescent="0.25">
      <c r="A3" s="2"/>
      <c r="B3" s="48" t="s">
        <v>10</v>
      </c>
      <c r="C3" s="49"/>
      <c r="D3" s="50">
        <f>COUNTIF(C11:V60,-1)</f>
        <v>2</v>
      </c>
      <c r="E3" s="51"/>
      <c r="G3" s="48" t="s">
        <v>11</v>
      </c>
      <c r="H3" s="49"/>
      <c r="I3" s="49"/>
      <c r="J3" s="49"/>
      <c r="K3" s="49"/>
      <c r="L3" s="49"/>
      <c r="M3" s="54">
        <f>D3/$M$7</f>
        <v>4.3572984749455342E-3</v>
      </c>
      <c r="N3" s="55"/>
      <c r="P3" s="46" t="s">
        <v>7</v>
      </c>
      <c r="Q3" s="47"/>
      <c r="R3" s="53">
        <v>200</v>
      </c>
      <c r="S3" s="53"/>
      <c r="T3" s="52" t="s">
        <v>8</v>
      </c>
      <c r="U3" s="47"/>
      <c r="V3" s="3">
        <v>140</v>
      </c>
      <c r="Z3" s="36"/>
      <c r="AA3" s="36"/>
      <c r="AB3" s="42" t="s">
        <v>9</v>
      </c>
      <c r="AC3" s="42">
        <v>72</v>
      </c>
      <c r="AD3" s="42">
        <f t="shared" ref="AD3:AD60" si="0">IF(AC3&lt;&gt;"",AC3-72,"")</f>
        <v>0</v>
      </c>
    </row>
    <row r="4" spans="1:30" x14ac:dyDescent="0.25">
      <c r="B4" s="48" t="s">
        <v>15</v>
      </c>
      <c r="C4" s="49"/>
      <c r="D4" s="50">
        <f>COUNTIF(C11:V60,0)</f>
        <v>63</v>
      </c>
      <c r="E4" s="51"/>
      <c r="G4" s="48" t="s">
        <v>16</v>
      </c>
      <c r="H4" s="49"/>
      <c r="I4" s="49"/>
      <c r="J4" s="49"/>
      <c r="K4" s="49"/>
      <c r="L4" s="49"/>
      <c r="M4" s="54">
        <f>D4/$M$7</f>
        <v>0.13725490196078433</v>
      </c>
      <c r="N4" s="55"/>
      <c r="P4" s="46" t="s">
        <v>12</v>
      </c>
      <c r="Q4" s="47"/>
      <c r="R4" s="53">
        <v>190</v>
      </c>
      <c r="S4" s="53"/>
      <c r="T4" s="52" t="s">
        <v>13</v>
      </c>
      <c r="U4" s="47"/>
      <c r="V4" s="3">
        <v>130</v>
      </c>
      <c r="Z4" s="36"/>
      <c r="AA4" s="36"/>
      <c r="AB4" s="42" t="s">
        <v>24</v>
      </c>
      <c r="AC4" s="42">
        <v>72</v>
      </c>
      <c r="AD4" s="42">
        <f t="shared" si="0"/>
        <v>0</v>
      </c>
    </row>
    <row r="5" spans="1:30" x14ac:dyDescent="0.25">
      <c r="B5" s="48" t="s">
        <v>20</v>
      </c>
      <c r="C5" s="49"/>
      <c r="D5" s="50">
        <f>COUNTIF(C11:V60,1)</f>
        <v>156</v>
      </c>
      <c r="E5" s="51"/>
      <c r="G5" s="48" t="s">
        <v>21</v>
      </c>
      <c r="H5" s="49"/>
      <c r="I5" s="49"/>
      <c r="J5" s="49"/>
      <c r="K5" s="49"/>
      <c r="L5" s="49"/>
      <c r="M5" s="54">
        <f>D5/$M$7</f>
        <v>0.33986928104575165</v>
      </c>
      <c r="N5" s="55"/>
      <c r="P5" s="56" t="s">
        <v>17</v>
      </c>
      <c r="Q5" s="47"/>
      <c r="R5" s="53">
        <v>180</v>
      </c>
      <c r="S5" s="53"/>
      <c r="T5" s="52" t="s">
        <v>18</v>
      </c>
      <c r="U5" s="47"/>
      <c r="V5" s="3">
        <v>120</v>
      </c>
      <c r="Z5" s="36"/>
      <c r="AA5" s="36"/>
      <c r="AB5" s="42" t="s">
        <v>19</v>
      </c>
      <c r="AC5" s="42">
        <v>72</v>
      </c>
      <c r="AD5" s="42">
        <f t="shared" si="0"/>
        <v>0</v>
      </c>
    </row>
    <row r="6" spans="1:30" x14ac:dyDescent="0.25">
      <c r="B6" s="48" t="s">
        <v>25</v>
      </c>
      <c r="C6" s="49"/>
      <c r="D6" s="50">
        <f>COUNTIF(C11:V60,2)</f>
        <v>144</v>
      </c>
      <c r="E6" s="51"/>
      <c r="G6" s="48" t="s">
        <v>26</v>
      </c>
      <c r="H6" s="49"/>
      <c r="I6" s="49"/>
      <c r="J6" s="49"/>
      <c r="K6" s="49"/>
      <c r="L6" s="49"/>
      <c r="M6" s="54">
        <f>D6/$M$7</f>
        <v>0.31372549019607843</v>
      </c>
      <c r="N6" s="55"/>
      <c r="P6" s="56" t="s">
        <v>22</v>
      </c>
      <c r="Q6" s="47"/>
      <c r="R6" s="53">
        <v>170</v>
      </c>
      <c r="S6" s="53"/>
      <c r="T6" s="46" t="s">
        <v>23</v>
      </c>
      <c r="U6" s="47"/>
      <c r="V6" s="3">
        <v>110</v>
      </c>
      <c r="Z6" s="36"/>
      <c r="AA6" s="36"/>
      <c r="AB6" s="42" t="s">
        <v>34</v>
      </c>
      <c r="AC6" s="42">
        <v>70</v>
      </c>
      <c r="AD6" s="42">
        <f t="shared" si="0"/>
        <v>-2</v>
      </c>
    </row>
    <row r="7" spans="1:30" x14ac:dyDescent="0.25">
      <c r="B7" s="48" t="s">
        <v>40</v>
      </c>
      <c r="C7" s="49"/>
      <c r="D7" s="50">
        <f>COUNTA(A10:A60)-1</f>
        <v>29</v>
      </c>
      <c r="E7" s="51"/>
      <c r="G7" s="48" t="s">
        <v>38</v>
      </c>
      <c r="H7" s="49"/>
      <c r="I7" s="49"/>
      <c r="J7" s="49"/>
      <c r="K7" s="49"/>
      <c r="L7" s="49"/>
      <c r="M7" s="50">
        <f>COUNT(C11:K60)+COUNT(M11:U60)</f>
        <v>459</v>
      </c>
      <c r="N7" s="51"/>
      <c r="P7" s="52" t="s">
        <v>27</v>
      </c>
      <c r="Q7" s="47"/>
      <c r="R7" s="53">
        <v>160</v>
      </c>
      <c r="S7" s="53"/>
      <c r="T7" s="46" t="s">
        <v>28</v>
      </c>
      <c r="U7" s="47"/>
      <c r="V7" s="3">
        <v>100</v>
      </c>
      <c r="Z7" s="36"/>
      <c r="AA7" s="36"/>
      <c r="AB7" s="42" t="s">
        <v>14</v>
      </c>
      <c r="AC7" s="42">
        <v>72</v>
      </c>
      <c r="AD7" s="42">
        <f t="shared" si="0"/>
        <v>0</v>
      </c>
    </row>
    <row r="8" spans="1:30" x14ac:dyDescent="0.25">
      <c r="O8" s="37"/>
      <c r="P8" s="38"/>
      <c r="Q8" s="39"/>
      <c r="R8" s="40"/>
      <c r="S8" s="40"/>
      <c r="T8" s="39"/>
      <c r="U8" s="39"/>
      <c r="V8" s="40"/>
      <c r="W8" s="37"/>
      <c r="Z8" s="36"/>
      <c r="AA8" s="36"/>
      <c r="AB8" s="42"/>
      <c r="AC8" s="42"/>
      <c r="AD8" s="42" t="str">
        <f t="shared" si="0"/>
        <v/>
      </c>
    </row>
    <row r="9" spans="1:30" x14ac:dyDescent="0.25">
      <c r="Z9" s="36"/>
      <c r="AA9" s="36"/>
      <c r="AB9" s="42"/>
      <c r="AC9" s="42"/>
      <c r="AD9" s="42" t="str">
        <f t="shared" si="0"/>
        <v/>
      </c>
    </row>
    <row r="10" spans="1:30" s="6" customFormat="1" x14ac:dyDescent="0.25">
      <c r="A10" s="4" t="s">
        <v>29</v>
      </c>
      <c r="B10" s="4" t="s">
        <v>1</v>
      </c>
      <c r="C10" s="4">
        <v>1</v>
      </c>
      <c r="D10" s="4">
        <v>2</v>
      </c>
      <c r="E10" s="4">
        <v>3</v>
      </c>
      <c r="F10" s="4">
        <v>4</v>
      </c>
      <c r="G10" s="4">
        <v>5</v>
      </c>
      <c r="H10" s="4">
        <v>6</v>
      </c>
      <c r="I10" s="4">
        <v>7</v>
      </c>
      <c r="J10" s="4">
        <v>8</v>
      </c>
      <c r="K10" s="4">
        <v>9</v>
      </c>
      <c r="L10" s="5" t="s">
        <v>30</v>
      </c>
      <c r="M10" s="4">
        <v>10</v>
      </c>
      <c r="N10" s="4">
        <v>11</v>
      </c>
      <c r="O10" s="4">
        <v>12</v>
      </c>
      <c r="P10" s="4">
        <v>13</v>
      </c>
      <c r="Q10" s="4">
        <v>14</v>
      </c>
      <c r="R10" s="4">
        <v>15</v>
      </c>
      <c r="S10" s="4">
        <v>16</v>
      </c>
      <c r="T10" s="4">
        <v>17</v>
      </c>
      <c r="U10" s="4">
        <v>18</v>
      </c>
      <c r="V10" s="5" t="s">
        <v>31</v>
      </c>
      <c r="W10" s="4" t="s">
        <v>32</v>
      </c>
      <c r="X10" s="4" t="s">
        <v>33</v>
      </c>
      <c r="AB10" s="43"/>
      <c r="AC10" s="43"/>
      <c r="AD10" s="42" t="str">
        <f t="shared" si="0"/>
        <v/>
      </c>
    </row>
    <row r="11" spans="1:30" x14ac:dyDescent="0.25">
      <c r="A11" s="7">
        <v>40614</v>
      </c>
      <c r="B11" s="8" t="s">
        <v>14</v>
      </c>
      <c r="C11" s="9">
        <v>4</v>
      </c>
      <c r="D11" s="9">
        <v>1</v>
      </c>
      <c r="E11" s="9">
        <v>5</v>
      </c>
      <c r="F11" s="9">
        <v>2</v>
      </c>
      <c r="G11" s="9">
        <v>4</v>
      </c>
      <c r="H11" s="9">
        <v>2</v>
      </c>
      <c r="I11" s="9">
        <v>4</v>
      </c>
      <c r="J11" s="9">
        <v>3</v>
      </c>
      <c r="K11" s="9">
        <v>3</v>
      </c>
      <c r="L11" s="10">
        <f t="shared" ref="L11:L60" si="1">IF(C11&lt;&gt;"",SUM(C11:K11),"")</f>
        <v>28</v>
      </c>
      <c r="M11" s="9"/>
      <c r="N11" s="9"/>
      <c r="O11" s="9"/>
      <c r="P11" s="9"/>
      <c r="Q11" s="9"/>
      <c r="R11" s="9"/>
      <c r="S11" s="9"/>
      <c r="T11" s="9"/>
      <c r="U11" s="9"/>
      <c r="V11" s="10" t="str">
        <f t="shared" ref="V11:V60" si="2">IF(M11&lt;&gt;"",SUM(M11:U11),"")</f>
        <v/>
      </c>
      <c r="W11" s="11">
        <f t="shared" ref="W11:W49" si="3">IF(L11&lt;&gt;"",IF(M11="",(L11*2+(LOOKUP(B11,AB:AB,AD:AD)))+72,L11+V11+72+LOOKUP(B11,AB:AB,AD:AD)),"")</f>
        <v>128</v>
      </c>
      <c r="X11" s="11">
        <f t="shared" ref="X11:X60" si="4">IF(W11&lt;&gt;"",W11-72,"")</f>
        <v>56</v>
      </c>
      <c r="Y11"/>
      <c r="AB11" s="42"/>
      <c r="AC11" s="42"/>
      <c r="AD11" s="42" t="str">
        <f t="shared" si="0"/>
        <v/>
      </c>
    </row>
    <row r="12" spans="1:30" x14ac:dyDescent="0.25">
      <c r="A12" s="12">
        <v>40621</v>
      </c>
      <c r="B12" s="13" t="s">
        <v>19</v>
      </c>
      <c r="C12" s="9">
        <v>3</v>
      </c>
      <c r="D12" s="9">
        <v>2</v>
      </c>
      <c r="E12" s="9">
        <v>2</v>
      </c>
      <c r="F12" s="9">
        <v>3</v>
      </c>
      <c r="G12" s="9">
        <v>3</v>
      </c>
      <c r="H12" s="9">
        <v>1</v>
      </c>
      <c r="I12" s="9">
        <v>1</v>
      </c>
      <c r="J12" s="9">
        <v>2</v>
      </c>
      <c r="K12" s="9">
        <v>0</v>
      </c>
      <c r="L12" s="10">
        <f t="shared" si="1"/>
        <v>17</v>
      </c>
      <c r="M12" s="9">
        <v>2</v>
      </c>
      <c r="N12" s="9">
        <v>3</v>
      </c>
      <c r="O12" s="9">
        <v>1</v>
      </c>
      <c r="P12" s="9">
        <v>1</v>
      </c>
      <c r="Q12" s="9">
        <v>1</v>
      </c>
      <c r="R12" s="9">
        <v>2</v>
      </c>
      <c r="S12" s="9">
        <v>2</v>
      </c>
      <c r="T12" s="9">
        <v>1</v>
      </c>
      <c r="U12" s="9">
        <v>1</v>
      </c>
      <c r="V12" s="10">
        <f t="shared" si="2"/>
        <v>14</v>
      </c>
      <c r="W12" s="11">
        <f t="shared" si="3"/>
        <v>103</v>
      </c>
      <c r="X12" s="11">
        <f t="shared" si="4"/>
        <v>31</v>
      </c>
      <c r="Y12"/>
      <c r="AB12" s="42"/>
      <c r="AC12" s="42"/>
      <c r="AD12" s="42" t="str">
        <f t="shared" si="0"/>
        <v/>
      </c>
    </row>
    <row r="13" spans="1:30" x14ac:dyDescent="0.25">
      <c r="A13" s="12">
        <v>40628</v>
      </c>
      <c r="B13" s="13" t="s">
        <v>19</v>
      </c>
      <c r="C13" s="9">
        <v>2</v>
      </c>
      <c r="D13" s="9">
        <v>1</v>
      </c>
      <c r="E13" s="9">
        <v>2</v>
      </c>
      <c r="F13" s="9">
        <v>1</v>
      </c>
      <c r="G13" s="9">
        <v>1</v>
      </c>
      <c r="H13" s="9">
        <v>0</v>
      </c>
      <c r="I13" s="9">
        <v>4</v>
      </c>
      <c r="J13" s="9">
        <v>1</v>
      </c>
      <c r="K13" s="9">
        <v>1</v>
      </c>
      <c r="L13" s="10">
        <f t="shared" si="1"/>
        <v>13</v>
      </c>
      <c r="M13" s="9"/>
      <c r="N13" s="9"/>
      <c r="O13" s="9"/>
      <c r="P13" s="9"/>
      <c r="Q13" s="9"/>
      <c r="R13" s="9"/>
      <c r="S13" s="9"/>
      <c r="T13" s="9"/>
      <c r="U13" s="9"/>
      <c r="V13" s="10" t="str">
        <f t="shared" si="2"/>
        <v/>
      </c>
      <c r="W13" s="11">
        <f t="shared" si="3"/>
        <v>98</v>
      </c>
      <c r="X13" s="11">
        <f t="shared" si="4"/>
        <v>26</v>
      </c>
      <c r="Y13"/>
      <c r="AB13" s="42"/>
      <c r="AC13" s="42"/>
      <c r="AD13" s="42" t="str">
        <f t="shared" si="0"/>
        <v/>
      </c>
    </row>
    <row r="14" spans="1:30" x14ac:dyDescent="0.25">
      <c r="A14" s="12">
        <v>40635</v>
      </c>
      <c r="B14" s="13" t="s">
        <v>14</v>
      </c>
      <c r="C14" s="9">
        <v>1</v>
      </c>
      <c r="D14" s="9">
        <v>2</v>
      </c>
      <c r="E14" s="9">
        <v>2</v>
      </c>
      <c r="F14" s="9">
        <v>1</v>
      </c>
      <c r="G14" s="9">
        <v>-1</v>
      </c>
      <c r="H14" s="9">
        <v>3</v>
      </c>
      <c r="I14" s="9">
        <v>1</v>
      </c>
      <c r="J14" s="9">
        <v>1</v>
      </c>
      <c r="K14" s="9">
        <v>2</v>
      </c>
      <c r="L14" s="10">
        <f t="shared" si="1"/>
        <v>12</v>
      </c>
      <c r="M14" s="9">
        <v>3</v>
      </c>
      <c r="N14" s="9">
        <v>2</v>
      </c>
      <c r="O14" s="9">
        <v>2</v>
      </c>
      <c r="P14" s="9">
        <v>1</v>
      </c>
      <c r="Q14" s="9">
        <v>1</v>
      </c>
      <c r="R14" s="9">
        <v>2</v>
      </c>
      <c r="S14" s="9">
        <v>0</v>
      </c>
      <c r="T14" s="9">
        <v>1</v>
      </c>
      <c r="U14" s="9">
        <v>2</v>
      </c>
      <c r="V14" s="10">
        <f t="shared" si="2"/>
        <v>14</v>
      </c>
      <c r="W14" s="11">
        <f t="shared" si="3"/>
        <v>98</v>
      </c>
      <c r="X14" s="11">
        <f t="shared" si="4"/>
        <v>26</v>
      </c>
      <c r="Y14"/>
      <c r="AB14" s="42"/>
      <c r="AC14" s="42"/>
      <c r="AD14" s="42" t="str">
        <f t="shared" si="0"/>
        <v/>
      </c>
    </row>
    <row r="15" spans="1:30" x14ac:dyDescent="0.25">
      <c r="A15" s="12">
        <v>40642</v>
      </c>
      <c r="B15" s="13" t="s">
        <v>19</v>
      </c>
      <c r="C15" s="9">
        <v>0</v>
      </c>
      <c r="D15" s="9">
        <v>2</v>
      </c>
      <c r="E15" s="9">
        <v>2</v>
      </c>
      <c r="F15" s="9">
        <v>0</v>
      </c>
      <c r="G15" s="9">
        <v>1</v>
      </c>
      <c r="H15" s="9">
        <v>2</v>
      </c>
      <c r="I15" s="9">
        <v>0</v>
      </c>
      <c r="J15" s="9">
        <v>3</v>
      </c>
      <c r="K15" s="9">
        <v>2</v>
      </c>
      <c r="L15" s="10">
        <f t="shared" si="1"/>
        <v>12</v>
      </c>
      <c r="M15" s="9"/>
      <c r="N15" s="9"/>
      <c r="O15" s="9"/>
      <c r="P15" s="9"/>
      <c r="Q15" s="9"/>
      <c r="R15" s="9"/>
      <c r="S15" s="9"/>
      <c r="T15" s="9"/>
      <c r="U15" s="9"/>
      <c r="V15" s="10" t="str">
        <f t="shared" si="2"/>
        <v/>
      </c>
      <c r="W15" s="11">
        <f t="shared" si="3"/>
        <v>96</v>
      </c>
      <c r="X15" s="11">
        <f t="shared" si="4"/>
        <v>24</v>
      </c>
      <c r="Y15"/>
      <c r="AB15" s="42"/>
      <c r="AC15" s="42"/>
      <c r="AD15" s="42" t="str">
        <f t="shared" si="0"/>
        <v/>
      </c>
    </row>
    <row r="16" spans="1:30" x14ac:dyDescent="0.25">
      <c r="A16" s="12">
        <v>40650</v>
      </c>
      <c r="B16" s="13" t="s">
        <v>14</v>
      </c>
      <c r="C16" s="9">
        <v>2</v>
      </c>
      <c r="D16" s="9">
        <v>1</v>
      </c>
      <c r="E16" s="9">
        <v>2</v>
      </c>
      <c r="F16" s="9">
        <v>0</v>
      </c>
      <c r="G16" s="9">
        <v>2</v>
      </c>
      <c r="H16" s="9">
        <v>2</v>
      </c>
      <c r="I16" s="9">
        <v>2</v>
      </c>
      <c r="J16" s="9">
        <v>1</v>
      </c>
      <c r="K16" s="9">
        <v>2</v>
      </c>
      <c r="L16" s="10">
        <f t="shared" si="1"/>
        <v>14</v>
      </c>
      <c r="M16" s="9">
        <v>2</v>
      </c>
      <c r="N16" s="9">
        <v>2</v>
      </c>
      <c r="O16" s="9">
        <v>2</v>
      </c>
      <c r="P16" s="9">
        <v>1</v>
      </c>
      <c r="Q16" s="9">
        <v>3</v>
      </c>
      <c r="R16" s="9">
        <v>4</v>
      </c>
      <c r="S16" s="9">
        <v>1</v>
      </c>
      <c r="T16" s="9">
        <v>1</v>
      </c>
      <c r="U16" s="9">
        <v>2</v>
      </c>
      <c r="V16" s="10">
        <f t="shared" si="2"/>
        <v>18</v>
      </c>
      <c r="W16" s="11">
        <f t="shared" si="3"/>
        <v>104</v>
      </c>
      <c r="X16" s="11">
        <f t="shared" si="4"/>
        <v>32</v>
      </c>
      <c r="Y16"/>
      <c r="AB16" s="42"/>
      <c r="AC16" s="42"/>
      <c r="AD16" s="42" t="str">
        <f t="shared" si="0"/>
        <v/>
      </c>
    </row>
    <row r="17" spans="1:30" x14ac:dyDescent="0.25">
      <c r="A17" s="12">
        <v>40656</v>
      </c>
      <c r="B17" s="13" t="s">
        <v>19</v>
      </c>
      <c r="C17" s="9">
        <v>2</v>
      </c>
      <c r="D17" s="9">
        <v>3</v>
      </c>
      <c r="E17" s="9">
        <v>3</v>
      </c>
      <c r="F17" s="9">
        <v>2</v>
      </c>
      <c r="G17" s="9">
        <v>1</v>
      </c>
      <c r="H17" s="9">
        <v>1</v>
      </c>
      <c r="I17" s="9">
        <v>3</v>
      </c>
      <c r="J17" s="9">
        <v>1</v>
      </c>
      <c r="K17" s="9">
        <v>2</v>
      </c>
      <c r="L17" s="10">
        <f t="shared" si="1"/>
        <v>18</v>
      </c>
      <c r="M17" s="9"/>
      <c r="N17" s="9"/>
      <c r="O17" s="9"/>
      <c r="P17" s="9"/>
      <c r="Q17" s="9"/>
      <c r="R17" s="9"/>
      <c r="S17" s="9"/>
      <c r="T17" s="9"/>
      <c r="U17" s="9"/>
      <c r="V17" s="10" t="str">
        <f t="shared" si="2"/>
        <v/>
      </c>
      <c r="W17" s="11">
        <f t="shared" si="3"/>
        <v>108</v>
      </c>
      <c r="X17" s="11">
        <f t="shared" si="4"/>
        <v>36</v>
      </c>
      <c r="Y17"/>
      <c r="AB17" s="42"/>
      <c r="AC17" s="42"/>
      <c r="AD17" s="42" t="str">
        <f t="shared" si="0"/>
        <v/>
      </c>
    </row>
    <row r="18" spans="1:30" x14ac:dyDescent="0.25">
      <c r="A18" s="12">
        <v>40663</v>
      </c>
      <c r="B18" s="13" t="s">
        <v>24</v>
      </c>
      <c r="C18" s="9">
        <v>3</v>
      </c>
      <c r="D18" s="9">
        <v>3</v>
      </c>
      <c r="E18" s="9">
        <v>2</v>
      </c>
      <c r="F18" s="9">
        <v>1</v>
      </c>
      <c r="G18" s="9">
        <v>3</v>
      </c>
      <c r="H18" s="9">
        <v>2</v>
      </c>
      <c r="I18" s="9">
        <v>1</v>
      </c>
      <c r="J18" s="9">
        <v>3</v>
      </c>
      <c r="K18" s="9">
        <v>4</v>
      </c>
      <c r="L18" s="10">
        <f t="shared" si="1"/>
        <v>22</v>
      </c>
      <c r="M18" s="9">
        <v>2</v>
      </c>
      <c r="N18" s="9">
        <v>2</v>
      </c>
      <c r="O18" s="9">
        <v>3</v>
      </c>
      <c r="P18" s="9">
        <v>0</v>
      </c>
      <c r="Q18" s="9">
        <v>3</v>
      </c>
      <c r="R18" s="9">
        <v>2</v>
      </c>
      <c r="S18" s="9">
        <v>2</v>
      </c>
      <c r="T18" s="9">
        <v>1</v>
      </c>
      <c r="U18" s="9">
        <v>1</v>
      </c>
      <c r="V18" s="10">
        <f t="shared" si="2"/>
        <v>16</v>
      </c>
      <c r="W18" s="11">
        <f t="shared" si="3"/>
        <v>110</v>
      </c>
      <c r="X18" s="11">
        <f t="shared" si="4"/>
        <v>38</v>
      </c>
      <c r="Y18"/>
      <c r="AB18" s="42"/>
      <c r="AC18" s="42"/>
      <c r="AD18" s="42" t="str">
        <f t="shared" si="0"/>
        <v/>
      </c>
    </row>
    <row r="19" spans="1:30" x14ac:dyDescent="0.25">
      <c r="A19" s="12">
        <v>40670</v>
      </c>
      <c r="B19" s="13" t="s">
        <v>14</v>
      </c>
      <c r="C19" s="9">
        <v>2</v>
      </c>
      <c r="D19" s="9">
        <v>1</v>
      </c>
      <c r="E19" s="9">
        <v>3</v>
      </c>
      <c r="F19" s="9">
        <v>2</v>
      </c>
      <c r="G19" s="9">
        <v>1</v>
      </c>
      <c r="H19" s="9">
        <v>3</v>
      </c>
      <c r="I19" s="9">
        <v>4</v>
      </c>
      <c r="J19" s="9">
        <v>2</v>
      </c>
      <c r="K19" s="9">
        <v>1</v>
      </c>
      <c r="L19" s="10">
        <f t="shared" si="1"/>
        <v>19</v>
      </c>
      <c r="M19" s="9">
        <v>2</v>
      </c>
      <c r="N19" s="9">
        <v>0</v>
      </c>
      <c r="O19" s="9">
        <v>1</v>
      </c>
      <c r="P19" s="9">
        <v>1</v>
      </c>
      <c r="Q19" s="9">
        <v>2</v>
      </c>
      <c r="R19" s="9">
        <v>0</v>
      </c>
      <c r="S19" s="9">
        <v>0</v>
      </c>
      <c r="T19" s="9">
        <v>2</v>
      </c>
      <c r="U19" s="9">
        <v>3</v>
      </c>
      <c r="V19" s="10">
        <f t="shared" si="2"/>
        <v>11</v>
      </c>
      <c r="W19" s="11">
        <f t="shared" si="3"/>
        <v>102</v>
      </c>
      <c r="X19" s="11">
        <f t="shared" si="4"/>
        <v>30</v>
      </c>
      <c r="Y19"/>
      <c r="AB19" s="42"/>
      <c r="AC19" s="42"/>
      <c r="AD19" s="42" t="str">
        <f t="shared" si="0"/>
        <v/>
      </c>
    </row>
    <row r="20" spans="1:30" x14ac:dyDescent="0.25">
      <c r="A20" s="12">
        <v>40674</v>
      </c>
      <c r="B20" s="13" t="s">
        <v>9</v>
      </c>
      <c r="C20" s="9">
        <v>4</v>
      </c>
      <c r="D20" s="9">
        <v>2</v>
      </c>
      <c r="E20" s="9">
        <v>2</v>
      </c>
      <c r="F20" s="9">
        <v>3</v>
      </c>
      <c r="G20" s="9">
        <v>3</v>
      </c>
      <c r="H20" s="9">
        <v>2</v>
      </c>
      <c r="I20" s="9">
        <v>0</v>
      </c>
      <c r="J20" s="9">
        <v>2</v>
      </c>
      <c r="K20" s="9">
        <v>4</v>
      </c>
      <c r="L20" s="10">
        <f t="shared" si="1"/>
        <v>22</v>
      </c>
      <c r="M20" s="9">
        <v>1</v>
      </c>
      <c r="N20" s="9">
        <v>1</v>
      </c>
      <c r="O20" s="9">
        <v>1</v>
      </c>
      <c r="P20" s="9">
        <v>2</v>
      </c>
      <c r="Q20" s="9">
        <v>1</v>
      </c>
      <c r="R20" s="9">
        <v>1</v>
      </c>
      <c r="S20" s="9">
        <v>1</v>
      </c>
      <c r="T20" s="9">
        <v>2</v>
      </c>
      <c r="U20" s="9">
        <v>2</v>
      </c>
      <c r="V20" s="10">
        <f t="shared" si="2"/>
        <v>12</v>
      </c>
      <c r="W20" s="11">
        <f t="shared" si="3"/>
        <v>106</v>
      </c>
      <c r="X20" s="11">
        <f t="shared" si="4"/>
        <v>34</v>
      </c>
      <c r="Y20"/>
      <c r="AB20" s="42"/>
      <c r="AC20" s="42"/>
      <c r="AD20" s="42" t="str">
        <f t="shared" si="0"/>
        <v/>
      </c>
    </row>
    <row r="21" spans="1:30" x14ac:dyDescent="0.25">
      <c r="A21" s="12">
        <v>40677</v>
      </c>
      <c r="B21" s="13" t="s">
        <v>19</v>
      </c>
      <c r="C21" s="9">
        <v>2</v>
      </c>
      <c r="D21" s="9">
        <v>2</v>
      </c>
      <c r="E21" s="9">
        <v>2</v>
      </c>
      <c r="F21" s="9">
        <v>1</v>
      </c>
      <c r="G21" s="9">
        <v>1</v>
      </c>
      <c r="H21" s="9">
        <v>1</v>
      </c>
      <c r="I21" s="9">
        <v>2</v>
      </c>
      <c r="J21" s="9">
        <v>1</v>
      </c>
      <c r="K21" s="9">
        <v>2</v>
      </c>
      <c r="L21" s="10">
        <f t="shared" si="1"/>
        <v>14</v>
      </c>
      <c r="M21" s="9">
        <v>1</v>
      </c>
      <c r="N21" s="9">
        <v>3</v>
      </c>
      <c r="O21" s="9">
        <v>1</v>
      </c>
      <c r="P21" s="9">
        <v>0</v>
      </c>
      <c r="Q21" s="9">
        <v>3</v>
      </c>
      <c r="R21" s="9">
        <v>3</v>
      </c>
      <c r="S21" s="9">
        <v>2</v>
      </c>
      <c r="T21" s="9">
        <v>2</v>
      </c>
      <c r="U21" s="9">
        <v>2</v>
      </c>
      <c r="V21" s="10">
        <f t="shared" si="2"/>
        <v>17</v>
      </c>
      <c r="W21" s="11">
        <f t="shared" si="3"/>
        <v>103</v>
      </c>
      <c r="X21" s="11">
        <f t="shared" si="4"/>
        <v>31</v>
      </c>
      <c r="Y21"/>
      <c r="AB21" s="42"/>
      <c r="AC21" s="42"/>
      <c r="AD21" s="42" t="str">
        <f t="shared" si="0"/>
        <v/>
      </c>
    </row>
    <row r="22" spans="1:30" x14ac:dyDescent="0.25">
      <c r="A22" s="12">
        <v>40695</v>
      </c>
      <c r="B22" s="13" t="s">
        <v>14</v>
      </c>
      <c r="C22" s="9">
        <v>2</v>
      </c>
      <c r="D22" s="9">
        <v>1</v>
      </c>
      <c r="E22" s="9">
        <v>1</v>
      </c>
      <c r="F22" s="9">
        <v>1</v>
      </c>
      <c r="G22" s="9">
        <v>1</v>
      </c>
      <c r="H22" s="9">
        <v>2</v>
      </c>
      <c r="I22" s="9">
        <v>1</v>
      </c>
      <c r="J22" s="9">
        <v>2</v>
      </c>
      <c r="K22" s="9">
        <v>1</v>
      </c>
      <c r="L22" s="10">
        <f t="shared" si="1"/>
        <v>12</v>
      </c>
      <c r="M22" s="9">
        <v>2</v>
      </c>
      <c r="N22" s="9">
        <v>2</v>
      </c>
      <c r="O22" s="9">
        <v>1</v>
      </c>
      <c r="P22" s="9">
        <v>1</v>
      </c>
      <c r="Q22" s="9">
        <v>1</v>
      </c>
      <c r="R22" s="9">
        <v>2</v>
      </c>
      <c r="S22" s="9">
        <v>1</v>
      </c>
      <c r="T22" s="9">
        <v>1</v>
      </c>
      <c r="U22" s="9">
        <v>1</v>
      </c>
      <c r="V22" s="10">
        <f t="shared" si="2"/>
        <v>12</v>
      </c>
      <c r="W22" s="11">
        <f t="shared" si="3"/>
        <v>96</v>
      </c>
      <c r="X22" s="11">
        <f t="shared" si="4"/>
        <v>24</v>
      </c>
      <c r="Y22"/>
      <c r="AB22" s="42"/>
      <c r="AC22" s="42"/>
      <c r="AD22" s="42" t="str">
        <f t="shared" si="0"/>
        <v/>
      </c>
    </row>
    <row r="23" spans="1:30" x14ac:dyDescent="0.25">
      <c r="A23" s="12">
        <v>40705</v>
      </c>
      <c r="B23" s="13" t="s">
        <v>19</v>
      </c>
      <c r="C23" s="9">
        <v>3</v>
      </c>
      <c r="D23" s="9">
        <v>3</v>
      </c>
      <c r="E23" s="9">
        <v>2</v>
      </c>
      <c r="F23" s="9">
        <v>1</v>
      </c>
      <c r="G23" s="9">
        <v>5</v>
      </c>
      <c r="H23" s="9">
        <v>1</v>
      </c>
      <c r="I23" s="9">
        <v>3</v>
      </c>
      <c r="J23" s="9">
        <v>1</v>
      </c>
      <c r="K23" s="9">
        <v>4</v>
      </c>
      <c r="L23" s="10">
        <f t="shared" si="1"/>
        <v>23</v>
      </c>
      <c r="M23" s="9">
        <v>1</v>
      </c>
      <c r="N23" s="9">
        <v>3</v>
      </c>
      <c r="O23" s="9">
        <v>1</v>
      </c>
      <c r="P23" s="9">
        <v>3</v>
      </c>
      <c r="Q23" s="9">
        <v>2</v>
      </c>
      <c r="R23" s="9">
        <v>1</v>
      </c>
      <c r="S23" s="9">
        <v>2</v>
      </c>
      <c r="T23" s="9">
        <v>0</v>
      </c>
      <c r="U23" s="9">
        <v>2</v>
      </c>
      <c r="V23" s="10">
        <f t="shared" si="2"/>
        <v>15</v>
      </c>
      <c r="W23" s="11">
        <f t="shared" si="3"/>
        <v>110</v>
      </c>
      <c r="X23" s="11">
        <f t="shared" si="4"/>
        <v>38</v>
      </c>
      <c r="Y23"/>
      <c r="AB23" s="42"/>
      <c r="AC23" s="42"/>
      <c r="AD23" s="42" t="str">
        <f t="shared" si="0"/>
        <v/>
      </c>
    </row>
    <row r="24" spans="1:30" x14ac:dyDescent="0.25">
      <c r="A24" s="12">
        <v>40698</v>
      </c>
      <c r="B24" s="13" t="s">
        <v>19</v>
      </c>
      <c r="C24" s="9">
        <v>2</v>
      </c>
      <c r="D24" s="9">
        <v>3</v>
      </c>
      <c r="E24" s="9">
        <v>2</v>
      </c>
      <c r="F24" s="9">
        <v>0</v>
      </c>
      <c r="G24" s="9">
        <v>1</v>
      </c>
      <c r="H24" s="9">
        <v>1</v>
      </c>
      <c r="I24" s="9">
        <v>1</v>
      </c>
      <c r="J24" s="9">
        <v>3</v>
      </c>
      <c r="K24" s="9">
        <v>1</v>
      </c>
      <c r="L24" s="10">
        <f t="shared" si="1"/>
        <v>14</v>
      </c>
      <c r="M24" s="9">
        <v>2</v>
      </c>
      <c r="N24" s="9">
        <v>2</v>
      </c>
      <c r="O24" s="9">
        <v>1</v>
      </c>
      <c r="P24" s="9">
        <v>1</v>
      </c>
      <c r="Q24" s="9">
        <v>1</v>
      </c>
      <c r="R24" s="9">
        <v>0</v>
      </c>
      <c r="S24" s="9">
        <v>0</v>
      </c>
      <c r="T24" s="9">
        <v>1</v>
      </c>
      <c r="U24" s="9">
        <v>2</v>
      </c>
      <c r="V24" s="10">
        <f t="shared" si="2"/>
        <v>10</v>
      </c>
      <c r="W24" s="11">
        <f t="shared" si="3"/>
        <v>96</v>
      </c>
      <c r="X24" s="11">
        <f t="shared" si="4"/>
        <v>24</v>
      </c>
      <c r="Y24"/>
      <c r="AB24" s="42"/>
      <c r="AC24" s="42"/>
      <c r="AD24" s="42" t="str">
        <f t="shared" si="0"/>
        <v/>
      </c>
    </row>
    <row r="25" spans="1:30" x14ac:dyDescent="0.25">
      <c r="A25" s="12">
        <v>40725</v>
      </c>
      <c r="B25" s="13" t="s">
        <v>19</v>
      </c>
      <c r="C25" s="9">
        <v>0</v>
      </c>
      <c r="D25" s="9">
        <v>3</v>
      </c>
      <c r="E25" s="9">
        <v>5</v>
      </c>
      <c r="F25" s="9">
        <v>0</v>
      </c>
      <c r="G25" s="9">
        <v>1</v>
      </c>
      <c r="H25" s="9">
        <v>0</v>
      </c>
      <c r="I25" s="9">
        <v>2</v>
      </c>
      <c r="J25" s="9">
        <v>0</v>
      </c>
      <c r="K25" s="9">
        <v>3</v>
      </c>
      <c r="L25" s="10">
        <f t="shared" si="1"/>
        <v>14</v>
      </c>
      <c r="M25" s="9">
        <v>3</v>
      </c>
      <c r="N25" s="9">
        <v>3</v>
      </c>
      <c r="O25" s="9">
        <v>2</v>
      </c>
      <c r="P25" s="9">
        <v>1</v>
      </c>
      <c r="Q25" s="9">
        <v>1</v>
      </c>
      <c r="R25" s="9">
        <v>3</v>
      </c>
      <c r="S25" s="9">
        <v>1</v>
      </c>
      <c r="T25" s="9">
        <v>4</v>
      </c>
      <c r="U25" s="9">
        <v>1</v>
      </c>
      <c r="V25" s="10">
        <f t="shared" si="2"/>
        <v>19</v>
      </c>
      <c r="W25" s="11">
        <f t="shared" si="3"/>
        <v>105</v>
      </c>
      <c r="X25" s="11">
        <f t="shared" si="4"/>
        <v>33</v>
      </c>
      <c r="Y25"/>
      <c r="AB25" s="42"/>
      <c r="AC25" s="42"/>
      <c r="AD25" s="42" t="str">
        <f t="shared" si="0"/>
        <v/>
      </c>
    </row>
    <row r="26" spans="1:30" x14ac:dyDescent="0.25">
      <c r="A26" s="12">
        <v>40740</v>
      </c>
      <c r="B26" s="13" t="s">
        <v>19</v>
      </c>
      <c r="C26" s="9">
        <v>2</v>
      </c>
      <c r="D26" s="9">
        <v>3</v>
      </c>
      <c r="E26" s="9">
        <v>0</v>
      </c>
      <c r="F26" s="9">
        <v>1</v>
      </c>
      <c r="G26" s="9">
        <v>2</v>
      </c>
      <c r="H26" s="9">
        <v>2</v>
      </c>
      <c r="I26" s="9">
        <v>3</v>
      </c>
      <c r="J26" s="9">
        <v>1</v>
      </c>
      <c r="K26" s="9">
        <v>0</v>
      </c>
      <c r="L26" s="10">
        <f t="shared" si="1"/>
        <v>14</v>
      </c>
      <c r="M26" s="9">
        <v>3</v>
      </c>
      <c r="N26" s="9">
        <v>4</v>
      </c>
      <c r="O26" s="9">
        <v>0</v>
      </c>
      <c r="P26" s="9">
        <v>1</v>
      </c>
      <c r="Q26" s="9">
        <v>4</v>
      </c>
      <c r="R26" s="9">
        <v>2</v>
      </c>
      <c r="S26" s="9">
        <v>1</v>
      </c>
      <c r="T26" s="9">
        <v>2</v>
      </c>
      <c r="U26" s="9">
        <v>1</v>
      </c>
      <c r="V26" s="10">
        <f t="shared" si="2"/>
        <v>18</v>
      </c>
      <c r="W26" s="11">
        <f t="shared" si="3"/>
        <v>104</v>
      </c>
      <c r="X26" s="11">
        <f t="shared" si="4"/>
        <v>32</v>
      </c>
      <c r="Y26"/>
      <c r="AB26" s="42"/>
      <c r="AC26" s="42"/>
      <c r="AD26" s="42" t="str">
        <f t="shared" si="0"/>
        <v/>
      </c>
    </row>
    <row r="27" spans="1:30" x14ac:dyDescent="0.25">
      <c r="A27" s="12">
        <v>40748</v>
      </c>
      <c r="B27" s="13" t="s">
        <v>14</v>
      </c>
      <c r="C27" s="9">
        <v>0</v>
      </c>
      <c r="D27" s="9">
        <v>3</v>
      </c>
      <c r="E27" s="9">
        <v>3</v>
      </c>
      <c r="F27" s="9">
        <v>3</v>
      </c>
      <c r="G27" s="9">
        <v>2</v>
      </c>
      <c r="H27" s="9">
        <v>1</v>
      </c>
      <c r="I27" s="9">
        <v>0</v>
      </c>
      <c r="J27" s="9">
        <v>1</v>
      </c>
      <c r="K27" s="9">
        <v>3</v>
      </c>
      <c r="L27" s="10">
        <f t="shared" si="1"/>
        <v>16</v>
      </c>
      <c r="M27" s="9">
        <v>3</v>
      </c>
      <c r="N27" s="9">
        <v>2</v>
      </c>
      <c r="O27" s="9">
        <v>1</v>
      </c>
      <c r="P27" s="9">
        <v>1</v>
      </c>
      <c r="Q27" s="9">
        <v>2</v>
      </c>
      <c r="R27" s="9">
        <v>1</v>
      </c>
      <c r="S27" s="9">
        <v>1</v>
      </c>
      <c r="T27" s="9">
        <v>0</v>
      </c>
      <c r="U27" s="9">
        <v>2</v>
      </c>
      <c r="V27" s="10">
        <f t="shared" si="2"/>
        <v>13</v>
      </c>
      <c r="W27" s="11">
        <f t="shared" si="3"/>
        <v>101</v>
      </c>
      <c r="X27" s="11">
        <f t="shared" si="4"/>
        <v>29</v>
      </c>
      <c r="Y27"/>
      <c r="AB27" s="42"/>
      <c r="AC27" s="42"/>
      <c r="AD27" s="42" t="str">
        <f t="shared" si="0"/>
        <v/>
      </c>
    </row>
    <row r="28" spans="1:30" x14ac:dyDescent="0.25">
      <c r="A28" s="12">
        <v>40758</v>
      </c>
      <c r="B28" s="13" t="s">
        <v>34</v>
      </c>
      <c r="C28" s="9">
        <v>0</v>
      </c>
      <c r="D28" s="9">
        <v>1</v>
      </c>
      <c r="E28" s="9">
        <v>1</v>
      </c>
      <c r="F28" s="9">
        <v>0</v>
      </c>
      <c r="G28" s="9">
        <v>0</v>
      </c>
      <c r="H28" s="9">
        <v>1</v>
      </c>
      <c r="I28" s="9">
        <v>1</v>
      </c>
      <c r="J28" s="9">
        <v>0</v>
      </c>
      <c r="K28" s="9">
        <v>1</v>
      </c>
      <c r="L28" s="10">
        <f t="shared" si="1"/>
        <v>5</v>
      </c>
      <c r="M28" s="9">
        <v>1</v>
      </c>
      <c r="N28" s="9">
        <v>1</v>
      </c>
      <c r="O28" s="9">
        <v>1</v>
      </c>
      <c r="P28" s="9">
        <v>2</v>
      </c>
      <c r="Q28" s="9">
        <v>1</v>
      </c>
      <c r="R28" s="9">
        <v>0</v>
      </c>
      <c r="S28" s="9">
        <v>1</v>
      </c>
      <c r="T28" s="9">
        <v>2</v>
      </c>
      <c r="U28" s="9">
        <v>0</v>
      </c>
      <c r="V28" s="10">
        <f t="shared" si="2"/>
        <v>9</v>
      </c>
      <c r="W28" s="11">
        <f t="shared" si="3"/>
        <v>84</v>
      </c>
      <c r="X28" s="11">
        <f t="shared" si="4"/>
        <v>12</v>
      </c>
      <c r="Y28"/>
      <c r="AB28" s="42"/>
      <c r="AC28" s="42"/>
      <c r="AD28" s="42" t="str">
        <f t="shared" si="0"/>
        <v/>
      </c>
    </row>
    <row r="29" spans="1:30" x14ac:dyDescent="0.25">
      <c r="A29" s="12">
        <v>40760</v>
      </c>
      <c r="B29" s="13" t="s">
        <v>19</v>
      </c>
      <c r="C29" s="9">
        <v>3</v>
      </c>
      <c r="D29" s="9">
        <v>0</v>
      </c>
      <c r="E29" s="9">
        <v>2</v>
      </c>
      <c r="F29" s="9">
        <v>3</v>
      </c>
      <c r="G29" s="9">
        <v>2</v>
      </c>
      <c r="H29" s="9">
        <v>1</v>
      </c>
      <c r="I29" s="9">
        <v>2</v>
      </c>
      <c r="J29" s="9">
        <v>1</v>
      </c>
      <c r="K29" s="9">
        <v>0</v>
      </c>
      <c r="L29" s="10">
        <f t="shared" si="1"/>
        <v>14</v>
      </c>
      <c r="M29" s="9">
        <v>1</v>
      </c>
      <c r="N29" s="9">
        <v>2</v>
      </c>
      <c r="O29" s="9">
        <v>2</v>
      </c>
      <c r="P29" s="9">
        <v>0</v>
      </c>
      <c r="Q29" s="9">
        <v>2</v>
      </c>
      <c r="R29" s="9">
        <v>2</v>
      </c>
      <c r="S29" s="9">
        <v>3</v>
      </c>
      <c r="T29" s="9">
        <v>1</v>
      </c>
      <c r="U29" s="9">
        <v>2</v>
      </c>
      <c r="V29" s="10">
        <f t="shared" si="2"/>
        <v>15</v>
      </c>
      <c r="W29" s="11">
        <f t="shared" si="3"/>
        <v>101</v>
      </c>
      <c r="X29" s="11">
        <f t="shared" si="4"/>
        <v>29</v>
      </c>
      <c r="Y29"/>
      <c r="AB29" s="42"/>
      <c r="AC29" s="42"/>
      <c r="AD29" s="42" t="str">
        <f t="shared" si="0"/>
        <v/>
      </c>
    </row>
    <row r="30" spans="1:30" x14ac:dyDescent="0.25">
      <c r="A30" s="12">
        <v>40797</v>
      </c>
      <c r="B30" s="13" t="s">
        <v>14</v>
      </c>
      <c r="C30" s="9">
        <v>2</v>
      </c>
      <c r="D30" s="9">
        <v>2</v>
      </c>
      <c r="E30" s="9">
        <v>2</v>
      </c>
      <c r="F30" s="9">
        <v>0</v>
      </c>
      <c r="G30" s="9">
        <v>1</v>
      </c>
      <c r="H30" s="9">
        <v>2</v>
      </c>
      <c r="I30" s="9">
        <v>1</v>
      </c>
      <c r="J30" s="9">
        <v>0</v>
      </c>
      <c r="K30" s="9">
        <v>1</v>
      </c>
      <c r="L30" s="10">
        <f t="shared" si="1"/>
        <v>11</v>
      </c>
      <c r="M30" s="9">
        <v>2</v>
      </c>
      <c r="N30" s="9">
        <v>3</v>
      </c>
      <c r="O30" s="9">
        <v>1</v>
      </c>
      <c r="P30" s="9">
        <v>2</v>
      </c>
      <c r="Q30" s="9">
        <v>1</v>
      </c>
      <c r="R30" s="9">
        <v>0</v>
      </c>
      <c r="S30" s="9">
        <v>0</v>
      </c>
      <c r="T30" s="9">
        <v>3</v>
      </c>
      <c r="U30" s="9">
        <v>1</v>
      </c>
      <c r="V30" s="10">
        <f t="shared" si="2"/>
        <v>13</v>
      </c>
      <c r="W30" s="11">
        <f t="shared" si="3"/>
        <v>96</v>
      </c>
      <c r="X30" s="11">
        <f t="shared" si="4"/>
        <v>24</v>
      </c>
      <c r="Y30"/>
      <c r="AB30" s="42"/>
      <c r="AC30" s="42"/>
      <c r="AD30" s="42" t="str">
        <f t="shared" si="0"/>
        <v/>
      </c>
    </row>
    <row r="31" spans="1:30" x14ac:dyDescent="0.25">
      <c r="A31" s="12">
        <v>40817</v>
      </c>
      <c r="B31" s="13" t="s">
        <v>19</v>
      </c>
      <c r="C31" s="9">
        <v>4</v>
      </c>
      <c r="D31" s="9">
        <v>3</v>
      </c>
      <c r="E31" s="9">
        <v>2</v>
      </c>
      <c r="F31" s="9">
        <v>1</v>
      </c>
      <c r="G31" s="9">
        <v>4</v>
      </c>
      <c r="H31" s="9">
        <v>2</v>
      </c>
      <c r="I31" s="9">
        <v>3</v>
      </c>
      <c r="J31" s="9">
        <v>0</v>
      </c>
      <c r="K31" s="9">
        <v>0</v>
      </c>
      <c r="L31" s="10">
        <f t="shared" si="1"/>
        <v>19</v>
      </c>
      <c r="M31" s="9">
        <v>1</v>
      </c>
      <c r="N31" s="9">
        <v>1</v>
      </c>
      <c r="O31" s="9">
        <v>4</v>
      </c>
      <c r="P31" s="9">
        <v>1</v>
      </c>
      <c r="Q31" s="9">
        <v>2</v>
      </c>
      <c r="R31" s="9">
        <v>1</v>
      </c>
      <c r="S31" s="9">
        <v>3</v>
      </c>
      <c r="T31" s="9">
        <v>2</v>
      </c>
      <c r="U31" s="9">
        <v>2</v>
      </c>
      <c r="V31" s="10">
        <f t="shared" si="2"/>
        <v>17</v>
      </c>
      <c r="W31" s="11">
        <f t="shared" si="3"/>
        <v>108</v>
      </c>
      <c r="X31" s="11">
        <f t="shared" si="4"/>
        <v>36</v>
      </c>
      <c r="Y31"/>
      <c r="AB31" s="42"/>
      <c r="AC31" s="42"/>
      <c r="AD31" s="42" t="str">
        <f t="shared" si="0"/>
        <v/>
      </c>
    </row>
    <row r="32" spans="1:30" x14ac:dyDescent="0.25">
      <c r="A32" s="12">
        <v>40824</v>
      </c>
      <c r="B32" s="13" t="s">
        <v>19</v>
      </c>
      <c r="C32" s="9">
        <v>1</v>
      </c>
      <c r="D32" s="9">
        <v>4</v>
      </c>
      <c r="E32" s="9">
        <v>2</v>
      </c>
      <c r="F32" s="9">
        <v>2</v>
      </c>
      <c r="G32" s="9">
        <v>2</v>
      </c>
      <c r="H32" s="9">
        <v>0</v>
      </c>
      <c r="I32" s="9">
        <v>3</v>
      </c>
      <c r="J32" s="9">
        <v>3</v>
      </c>
      <c r="K32" s="9">
        <v>1</v>
      </c>
      <c r="L32" s="10">
        <f t="shared" si="1"/>
        <v>18</v>
      </c>
      <c r="M32" s="9">
        <v>4</v>
      </c>
      <c r="N32" s="9">
        <v>4</v>
      </c>
      <c r="O32" s="9">
        <v>2</v>
      </c>
      <c r="P32" s="9">
        <v>1</v>
      </c>
      <c r="Q32" s="9">
        <v>1</v>
      </c>
      <c r="R32" s="9">
        <v>0</v>
      </c>
      <c r="S32" s="9">
        <v>2</v>
      </c>
      <c r="T32" s="9">
        <v>0</v>
      </c>
      <c r="U32" s="9">
        <v>2</v>
      </c>
      <c r="V32" s="10">
        <f t="shared" si="2"/>
        <v>16</v>
      </c>
      <c r="W32" s="11">
        <f t="shared" si="3"/>
        <v>106</v>
      </c>
      <c r="X32" s="11">
        <f t="shared" si="4"/>
        <v>34</v>
      </c>
      <c r="Y32"/>
      <c r="AB32" s="42"/>
      <c r="AC32" s="42"/>
      <c r="AD32" s="42" t="str">
        <f t="shared" si="0"/>
        <v/>
      </c>
    </row>
    <row r="33" spans="1:30" x14ac:dyDescent="0.25">
      <c r="A33" s="12">
        <v>40832</v>
      </c>
      <c r="B33" s="13" t="s">
        <v>19</v>
      </c>
      <c r="C33" s="9">
        <v>4</v>
      </c>
      <c r="D33" s="9">
        <v>3</v>
      </c>
      <c r="E33" s="9">
        <v>0</v>
      </c>
      <c r="F33" s="9">
        <v>1</v>
      </c>
      <c r="G33" s="9">
        <v>1</v>
      </c>
      <c r="H33" s="9">
        <v>1</v>
      </c>
      <c r="I33" s="9">
        <v>0</v>
      </c>
      <c r="J33" s="9">
        <v>0</v>
      </c>
      <c r="K33" s="9">
        <v>0</v>
      </c>
      <c r="L33" s="10">
        <f t="shared" si="1"/>
        <v>10</v>
      </c>
      <c r="M33" s="9"/>
      <c r="N33" s="9"/>
      <c r="O33" s="9"/>
      <c r="P33" s="9"/>
      <c r="Q33" s="9"/>
      <c r="R33" s="9"/>
      <c r="S33" s="9"/>
      <c r="T33" s="9"/>
      <c r="U33" s="9"/>
      <c r="V33" s="10" t="str">
        <f t="shared" si="2"/>
        <v/>
      </c>
      <c r="W33" s="11">
        <f t="shared" si="3"/>
        <v>92</v>
      </c>
      <c r="X33" s="11">
        <f t="shared" si="4"/>
        <v>20</v>
      </c>
      <c r="Y33"/>
      <c r="AB33" s="42"/>
      <c r="AC33" s="42"/>
      <c r="AD33" s="42" t="str">
        <f t="shared" si="0"/>
        <v/>
      </c>
    </row>
    <row r="34" spans="1:30" x14ac:dyDescent="0.25">
      <c r="A34" s="12">
        <v>40838</v>
      </c>
      <c r="B34" s="13" t="s">
        <v>14</v>
      </c>
      <c r="C34" s="9">
        <v>2</v>
      </c>
      <c r="D34" s="9">
        <v>2</v>
      </c>
      <c r="E34" s="9">
        <v>4</v>
      </c>
      <c r="F34" s="9">
        <v>1</v>
      </c>
      <c r="G34" s="9">
        <v>1</v>
      </c>
      <c r="H34" s="9">
        <v>2</v>
      </c>
      <c r="I34" s="9">
        <v>1</v>
      </c>
      <c r="J34" s="9">
        <v>1</v>
      </c>
      <c r="K34" s="9">
        <v>0</v>
      </c>
      <c r="L34" s="10">
        <f t="shared" si="1"/>
        <v>14</v>
      </c>
      <c r="M34" s="9"/>
      <c r="N34" s="9"/>
      <c r="O34" s="9"/>
      <c r="P34" s="9"/>
      <c r="Q34" s="9"/>
      <c r="R34" s="9"/>
      <c r="S34" s="9"/>
      <c r="T34" s="9"/>
      <c r="U34" s="9"/>
      <c r="V34" s="10" t="str">
        <f t="shared" si="2"/>
        <v/>
      </c>
      <c r="W34" s="11">
        <f t="shared" si="3"/>
        <v>100</v>
      </c>
      <c r="X34" s="11">
        <f t="shared" si="4"/>
        <v>28</v>
      </c>
      <c r="Y34"/>
      <c r="AB34" s="42"/>
      <c r="AC34" s="42"/>
      <c r="AD34" s="42" t="str">
        <f t="shared" si="0"/>
        <v/>
      </c>
    </row>
    <row r="35" spans="1:30" x14ac:dyDescent="0.25">
      <c r="A35" s="12">
        <v>40845</v>
      </c>
      <c r="B35" s="13" t="s">
        <v>14</v>
      </c>
      <c r="C35" s="9">
        <v>4</v>
      </c>
      <c r="D35" s="9">
        <v>0</v>
      </c>
      <c r="E35" s="9">
        <v>4</v>
      </c>
      <c r="F35" s="9">
        <v>3</v>
      </c>
      <c r="G35" s="9">
        <v>1</v>
      </c>
      <c r="H35" s="9">
        <v>1</v>
      </c>
      <c r="I35" s="9">
        <v>2</v>
      </c>
      <c r="J35" s="9">
        <v>2</v>
      </c>
      <c r="K35" s="9">
        <v>2</v>
      </c>
      <c r="L35" s="10">
        <f t="shared" si="1"/>
        <v>19</v>
      </c>
      <c r="M35" s="9">
        <v>1</v>
      </c>
      <c r="N35" s="9">
        <v>2</v>
      </c>
      <c r="O35" s="9">
        <v>2</v>
      </c>
      <c r="P35" s="9">
        <v>1</v>
      </c>
      <c r="Q35" s="9">
        <v>1</v>
      </c>
      <c r="R35" s="9">
        <v>2</v>
      </c>
      <c r="S35" s="9">
        <v>2</v>
      </c>
      <c r="T35" s="9">
        <v>1</v>
      </c>
      <c r="U35" s="9">
        <v>2</v>
      </c>
      <c r="V35" s="10">
        <f t="shared" si="2"/>
        <v>14</v>
      </c>
      <c r="W35" s="11">
        <f t="shared" si="3"/>
        <v>105</v>
      </c>
      <c r="X35" s="11">
        <f t="shared" si="4"/>
        <v>33</v>
      </c>
      <c r="Y35"/>
      <c r="AB35" s="42"/>
      <c r="AC35" s="42"/>
      <c r="AD35" s="42" t="str">
        <f t="shared" si="0"/>
        <v/>
      </c>
    </row>
    <row r="36" spans="1:30" x14ac:dyDescent="0.25">
      <c r="A36" s="12">
        <v>40861</v>
      </c>
      <c r="B36" s="13" t="s">
        <v>14</v>
      </c>
      <c r="C36" s="9">
        <v>3</v>
      </c>
      <c r="D36" s="9">
        <v>0</v>
      </c>
      <c r="E36" s="9">
        <v>2</v>
      </c>
      <c r="F36" s="9">
        <v>1</v>
      </c>
      <c r="G36" s="9">
        <v>2</v>
      </c>
      <c r="H36" s="9">
        <v>1</v>
      </c>
      <c r="I36" s="9">
        <v>1</v>
      </c>
      <c r="J36" s="9">
        <v>1</v>
      </c>
      <c r="K36" s="9">
        <v>1</v>
      </c>
      <c r="L36" s="10">
        <f t="shared" si="1"/>
        <v>12</v>
      </c>
      <c r="M36" s="9">
        <v>1</v>
      </c>
      <c r="N36" s="9">
        <v>4</v>
      </c>
      <c r="O36" s="9">
        <v>1</v>
      </c>
      <c r="P36" s="9">
        <v>2</v>
      </c>
      <c r="Q36" s="9">
        <v>1</v>
      </c>
      <c r="R36" s="9">
        <v>3</v>
      </c>
      <c r="S36" s="9">
        <v>0</v>
      </c>
      <c r="T36" s="9">
        <v>3</v>
      </c>
      <c r="U36" s="9">
        <v>2</v>
      </c>
      <c r="V36" s="10">
        <f t="shared" si="2"/>
        <v>17</v>
      </c>
      <c r="W36" s="11">
        <f t="shared" si="3"/>
        <v>101</v>
      </c>
      <c r="X36" s="11">
        <f t="shared" si="4"/>
        <v>29</v>
      </c>
      <c r="Y36"/>
      <c r="AB36" s="42"/>
      <c r="AC36" s="42"/>
      <c r="AD36" s="42" t="str">
        <f t="shared" si="0"/>
        <v/>
      </c>
    </row>
    <row r="37" spans="1:30" x14ac:dyDescent="0.25">
      <c r="A37" s="12">
        <v>40873</v>
      </c>
      <c r="B37" s="13" t="s">
        <v>19</v>
      </c>
      <c r="C37" s="9">
        <v>2</v>
      </c>
      <c r="D37" s="9">
        <v>2</v>
      </c>
      <c r="E37" s="9">
        <v>1</v>
      </c>
      <c r="F37" s="9">
        <v>1</v>
      </c>
      <c r="G37" s="9">
        <v>0</v>
      </c>
      <c r="H37" s="9">
        <v>2</v>
      </c>
      <c r="I37" s="9">
        <v>1</v>
      </c>
      <c r="J37" s="9">
        <v>1</v>
      </c>
      <c r="K37" s="9">
        <v>1</v>
      </c>
      <c r="L37" s="10">
        <f t="shared" si="1"/>
        <v>11</v>
      </c>
      <c r="M37" s="9"/>
      <c r="N37" s="9"/>
      <c r="O37" s="9"/>
      <c r="P37" s="9"/>
      <c r="Q37" s="9"/>
      <c r="R37" s="9"/>
      <c r="S37" s="9"/>
      <c r="T37" s="9"/>
      <c r="U37" s="9"/>
      <c r="V37" s="10" t="str">
        <f t="shared" si="2"/>
        <v/>
      </c>
      <c r="W37" s="11">
        <f t="shared" si="3"/>
        <v>94</v>
      </c>
      <c r="X37" s="11">
        <f t="shared" si="4"/>
        <v>22</v>
      </c>
      <c r="Y37"/>
      <c r="AB37" s="42"/>
      <c r="AC37" s="42"/>
      <c r="AD37" s="42" t="str">
        <f t="shared" si="0"/>
        <v/>
      </c>
    </row>
    <row r="38" spans="1:30" x14ac:dyDescent="0.25">
      <c r="A38" s="12">
        <v>40896</v>
      </c>
      <c r="B38" s="13" t="s">
        <v>19</v>
      </c>
      <c r="C38" s="9">
        <v>3</v>
      </c>
      <c r="D38" s="9">
        <v>1</v>
      </c>
      <c r="E38" s="9">
        <v>2</v>
      </c>
      <c r="F38" s="9">
        <v>1</v>
      </c>
      <c r="G38" s="9">
        <v>1</v>
      </c>
      <c r="H38" s="9">
        <v>0</v>
      </c>
      <c r="I38" s="9">
        <v>1</v>
      </c>
      <c r="J38" s="9">
        <v>2</v>
      </c>
      <c r="K38" s="9">
        <v>1</v>
      </c>
      <c r="L38" s="10">
        <f t="shared" si="1"/>
        <v>12</v>
      </c>
      <c r="M38" s="9">
        <v>0</v>
      </c>
      <c r="N38" s="9">
        <v>1</v>
      </c>
      <c r="O38" s="9">
        <v>2</v>
      </c>
      <c r="P38" s="9">
        <v>2</v>
      </c>
      <c r="Q38" s="9">
        <v>0</v>
      </c>
      <c r="R38" s="9">
        <v>0</v>
      </c>
      <c r="S38" s="9">
        <v>2</v>
      </c>
      <c r="T38" s="9">
        <v>0</v>
      </c>
      <c r="U38" s="9">
        <v>0</v>
      </c>
      <c r="V38" s="10">
        <f t="shared" si="2"/>
        <v>7</v>
      </c>
      <c r="W38" s="11">
        <f t="shared" si="3"/>
        <v>91</v>
      </c>
      <c r="X38" s="11">
        <f t="shared" si="4"/>
        <v>19</v>
      </c>
      <c r="Y38"/>
      <c r="AB38" s="42"/>
      <c r="AC38" s="42"/>
      <c r="AD38" s="42" t="str">
        <f t="shared" si="0"/>
        <v/>
      </c>
    </row>
    <row r="39" spans="1:30" x14ac:dyDescent="0.25">
      <c r="A39" s="12">
        <v>40907</v>
      </c>
      <c r="B39" s="13" t="s">
        <v>19</v>
      </c>
      <c r="C39" s="9">
        <v>2</v>
      </c>
      <c r="D39" s="9">
        <v>0</v>
      </c>
      <c r="E39" s="9">
        <v>2</v>
      </c>
      <c r="F39" s="9">
        <v>1</v>
      </c>
      <c r="G39" s="9">
        <v>2</v>
      </c>
      <c r="H39" s="9">
        <v>3</v>
      </c>
      <c r="I39" s="9">
        <v>2</v>
      </c>
      <c r="J39" s="9">
        <v>1</v>
      </c>
      <c r="K39" s="9">
        <v>3</v>
      </c>
      <c r="L39" s="10">
        <f t="shared" si="1"/>
        <v>16</v>
      </c>
      <c r="M39" s="9">
        <v>3</v>
      </c>
      <c r="N39" s="9">
        <v>1</v>
      </c>
      <c r="O39" s="9">
        <v>2</v>
      </c>
      <c r="P39" s="9">
        <v>0</v>
      </c>
      <c r="Q39" s="9">
        <v>2</v>
      </c>
      <c r="R39" s="9">
        <v>3</v>
      </c>
      <c r="S39" s="9">
        <v>0</v>
      </c>
      <c r="T39" s="9">
        <v>2</v>
      </c>
      <c r="U39" s="9">
        <v>-1</v>
      </c>
      <c r="V39" s="10">
        <f t="shared" si="2"/>
        <v>12</v>
      </c>
      <c r="W39" s="11">
        <f t="shared" si="3"/>
        <v>100</v>
      </c>
      <c r="X39" s="11">
        <f t="shared" si="4"/>
        <v>28</v>
      </c>
      <c r="Y39"/>
      <c r="AB39" s="42"/>
      <c r="AC39" s="42"/>
      <c r="AD39" s="42" t="str">
        <f t="shared" si="0"/>
        <v/>
      </c>
    </row>
    <row r="40" spans="1:30" x14ac:dyDescent="0.25">
      <c r="A40" s="12"/>
      <c r="B40" s="13"/>
      <c r="C40" s="9"/>
      <c r="D40" s="9"/>
      <c r="E40" s="9"/>
      <c r="F40" s="9"/>
      <c r="G40" s="9"/>
      <c r="H40" s="9"/>
      <c r="I40" s="9"/>
      <c r="J40" s="9"/>
      <c r="K40" s="9"/>
      <c r="L40" s="10" t="str">
        <f t="shared" si="1"/>
        <v/>
      </c>
      <c r="M40" s="9"/>
      <c r="N40" s="9"/>
      <c r="O40" s="9"/>
      <c r="P40" s="9"/>
      <c r="Q40" s="9"/>
      <c r="R40" s="9"/>
      <c r="S40" s="9"/>
      <c r="T40" s="9"/>
      <c r="U40" s="9"/>
      <c r="V40" s="10" t="str">
        <f t="shared" si="2"/>
        <v/>
      </c>
      <c r="W40" s="11" t="str">
        <f t="shared" si="3"/>
        <v/>
      </c>
      <c r="X40" s="11" t="str">
        <f t="shared" si="4"/>
        <v/>
      </c>
      <c r="Y40"/>
      <c r="AB40" s="42"/>
      <c r="AC40" s="42"/>
      <c r="AD40" s="42" t="str">
        <f t="shared" si="0"/>
        <v/>
      </c>
    </row>
    <row r="41" spans="1:30" x14ac:dyDescent="0.25">
      <c r="A41" s="12"/>
      <c r="B41" s="13"/>
      <c r="C41" s="9"/>
      <c r="D41" s="9"/>
      <c r="E41" s="9"/>
      <c r="F41" s="9"/>
      <c r="G41" s="9"/>
      <c r="H41" s="9"/>
      <c r="I41" s="9"/>
      <c r="J41" s="9"/>
      <c r="K41" s="9"/>
      <c r="L41" s="10" t="str">
        <f t="shared" si="1"/>
        <v/>
      </c>
      <c r="M41" s="9"/>
      <c r="N41" s="9"/>
      <c r="O41" s="9"/>
      <c r="P41" s="9"/>
      <c r="Q41" s="9"/>
      <c r="R41" s="9"/>
      <c r="S41" s="9"/>
      <c r="T41" s="9"/>
      <c r="U41" s="9"/>
      <c r="V41" s="10" t="str">
        <f t="shared" si="2"/>
        <v/>
      </c>
      <c r="W41" s="11" t="str">
        <f t="shared" si="3"/>
        <v/>
      </c>
      <c r="X41" s="11" t="str">
        <f t="shared" si="4"/>
        <v/>
      </c>
      <c r="Y41"/>
      <c r="AB41" s="42"/>
      <c r="AC41" s="42"/>
      <c r="AD41" s="42" t="str">
        <f t="shared" si="0"/>
        <v/>
      </c>
    </row>
    <row r="42" spans="1:30" x14ac:dyDescent="0.25">
      <c r="A42" s="12"/>
      <c r="B42" s="13"/>
      <c r="C42" s="9"/>
      <c r="D42" s="9"/>
      <c r="E42" s="9"/>
      <c r="F42" s="9"/>
      <c r="G42" s="9"/>
      <c r="H42" s="9"/>
      <c r="I42" s="9"/>
      <c r="J42" s="9"/>
      <c r="K42" s="9"/>
      <c r="L42" s="10" t="str">
        <f t="shared" si="1"/>
        <v/>
      </c>
      <c r="M42" s="9"/>
      <c r="N42" s="9"/>
      <c r="O42" s="9"/>
      <c r="P42" s="9"/>
      <c r="Q42" s="9"/>
      <c r="R42" s="9"/>
      <c r="S42" s="9"/>
      <c r="T42" s="9"/>
      <c r="U42" s="9"/>
      <c r="V42" s="10" t="str">
        <f t="shared" si="2"/>
        <v/>
      </c>
      <c r="W42" s="11" t="str">
        <f t="shared" si="3"/>
        <v/>
      </c>
      <c r="X42" s="11" t="str">
        <f t="shared" si="4"/>
        <v/>
      </c>
      <c r="Y42"/>
      <c r="AB42" s="42"/>
      <c r="AC42" s="42"/>
      <c r="AD42" s="42" t="str">
        <f t="shared" si="0"/>
        <v/>
      </c>
    </row>
    <row r="43" spans="1:30" x14ac:dyDescent="0.25">
      <c r="A43" s="12"/>
      <c r="B43" s="13"/>
      <c r="C43" s="9"/>
      <c r="D43" s="9"/>
      <c r="E43" s="9"/>
      <c r="F43" s="9"/>
      <c r="G43" s="9"/>
      <c r="H43" s="9"/>
      <c r="I43" s="9"/>
      <c r="J43" s="9"/>
      <c r="K43" s="9"/>
      <c r="L43" s="10" t="str">
        <f t="shared" si="1"/>
        <v/>
      </c>
      <c r="M43" s="9"/>
      <c r="N43" s="9"/>
      <c r="O43" s="9"/>
      <c r="P43" s="9"/>
      <c r="Q43" s="9"/>
      <c r="R43" s="9"/>
      <c r="S43" s="9"/>
      <c r="T43" s="9"/>
      <c r="U43" s="9"/>
      <c r="V43" s="10" t="str">
        <f t="shared" si="2"/>
        <v/>
      </c>
      <c r="W43" s="11" t="str">
        <f t="shared" si="3"/>
        <v/>
      </c>
      <c r="X43" s="11" t="str">
        <f t="shared" si="4"/>
        <v/>
      </c>
      <c r="Y43"/>
      <c r="AB43" s="42"/>
      <c r="AC43" s="42"/>
      <c r="AD43" s="42" t="str">
        <f t="shared" si="0"/>
        <v/>
      </c>
    </row>
    <row r="44" spans="1:30" x14ac:dyDescent="0.25">
      <c r="A44" s="12"/>
      <c r="B44" s="13"/>
      <c r="C44" s="9"/>
      <c r="D44" s="9"/>
      <c r="E44" s="9"/>
      <c r="F44" s="9"/>
      <c r="G44" s="9"/>
      <c r="H44" s="9"/>
      <c r="I44" s="9"/>
      <c r="J44" s="9"/>
      <c r="K44" s="9"/>
      <c r="L44" s="10" t="str">
        <f t="shared" si="1"/>
        <v/>
      </c>
      <c r="M44" s="9"/>
      <c r="N44" s="9"/>
      <c r="O44" s="9"/>
      <c r="P44" s="9"/>
      <c r="Q44" s="9"/>
      <c r="R44" s="9"/>
      <c r="S44" s="9"/>
      <c r="T44" s="9"/>
      <c r="U44" s="9"/>
      <c r="V44" s="10" t="str">
        <f t="shared" si="2"/>
        <v/>
      </c>
      <c r="W44" s="11" t="str">
        <f t="shared" si="3"/>
        <v/>
      </c>
      <c r="X44" s="11" t="str">
        <f t="shared" si="4"/>
        <v/>
      </c>
      <c r="Y44"/>
      <c r="AB44" s="42"/>
      <c r="AC44" s="42"/>
      <c r="AD44" s="42" t="str">
        <f t="shared" si="0"/>
        <v/>
      </c>
    </row>
    <row r="45" spans="1:30" x14ac:dyDescent="0.25">
      <c r="A45" s="12"/>
      <c r="B45" s="13"/>
      <c r="C45" s="9"/>
      <c r="D45" s="9"/>
      <c r="E45" s="9"/>
      <c r="F45" s="9"/>
      <c r="G45" s="9"/>
      <c r="H45" s="9"/>
      <c r="I45" s="9"/>
      <c r="J45" s="9"/>
      <c r="K45" s="9"/>
      <c r="L45" s="10" t="str">
        <f t="shared" si="1"/>
        <v/>
      </c>
      <c r="M45" s="9"/>
      <c r="N45" s="9"/>
      <c r="O45" s="9"/>
      <c r="P45" s="9"/>
      <c r="Q45" s="9"/>
      <c r="R45" s="9"/>
      <c r="S45" s="9"/>
      <c r="T45" s="9"/>
      <c r="U45" s="9"/>
      <c r="V45" s="10" t="str">
        <f t="shared" si="2"/>
        <v/>
      </c>
      <c r="W45" s="11" t="str">
        <f t="shared" si="3"/>
        <v/>
      </c>
      <c r="X45" s="11" t="str">
        <f t="shared" si="4"/>
        <v/>
      </c>
      <c r="Y45"/>
      <c r="AB45" s="42"/>
      <c r="AC45" s="42"/>
      <c r="AD45" s="42" t="str">
        <f t="shared" si="0"/>
        <v/>
      </c>
    </row>
    <row r="46" spans="1:30" x14ac:dyDescent="0.25">
      <c r="A46" s="12"/>
      <c r="B46" s="13"/>
      <c r="C46" s="9"/>
      <c r="D46" s="9"/>
      <c r="E46" s="9"/>
      <c r="F46" s="9"/>
      <c r="G46" s="9"/>
      <c r="H46" s="9"/>
      <c r="I46" s="9"/>
      <c r="J46" s="9"/>
      <c r="K46" s="9"/>
      <c r="L46" s="10" t="str">
        <f t="shared" si="1"/>
        <v/>
      </c>
      <c r="M46" s="9"/>
      <c r="N46" s="9"/>
      <c r="O46" s="9"/>
      <c r="P46" s="9"/>
      <c r="Q46" s="9"/>
      <c r="R46" s="9"/>
      <c r="S46" s="9"/>
      <c r="T46" s="9"/>
      <c r="U46" s="9"/>
      <c r="V46" s="10" t="str">
        <f t="shared" si="2"/>
        <v/>
      </c>
      <c r="W46" s="11" t="str">
        <f t="shared" si="3"/>
        <v/>
      </c>
      <c r="X46" s="11" t="str">
        <f t="shared" si="4"/>
        <v/>
      </c>
      <c r="Y46"/>
      <c r="AB46" s="42"/>
      <c r="AC46" s="42"/>
      <c r="AD46" s="42" t="str">
        <f t="shared" si="0"/>
        <v/>
      </c>
    </row>
    <row r="47" spans="1:30" x14ac:dyDescent="0.25">
      <c r="A47" s="12"/>
      <c r="B47" s="13"/>
      <c r="C47" s="9"/>
      <c r="D47" s="9"/>
      <c r="E47" s="9"/>
      <c r="F47" s="9"/>
      <c r="G47" s="9"/>
      <c r="H47" s="9"/>
      <c r="I47" s="9"/>
      <c r="J47" s="9"/>
      <c r="K47" s="9"/>
      <c r="L47" s="10" t="str">
        <f t="shared" si="1"/>
        <v/>
      </c>
      <c r="M47" s="9"/>
      <c r="N47" s="9"/>
      <c r="O47" s="9"/>
      <c r="P47" s="9"/>
      <c r="Q47" s="9"/>
      <c r="R47" s="9"/>
      <c r="S47" s="9"/>
      <c r="T47" s="9"/>
      <c r="U47" s="9"/>
      <c r="V47" s="10" t="str">
        <f t="shared" si="2"/>
        <v/>
      </c>
      <c r="W47" s="11" t="str">
        <f t="shared" si="3"/>
        <v/>
      </c>
      <c r="X47" s="11" t="str">
        <f t="shared" si="4"/>
        <v/>
      </c>
      <c r="Y47"/>
      <c r="AB47" s="42"/>
      <c r="AC47" s="42"/>
      <c r="AD47" s="42" t="str">
        <f t="shared" si="0"/>
        <v/>
      </c>
    </row>
    <row r="48" spans="1:30" x14ac:dyDescent="0.25">
      <c r="A48" s="12"/>
      <c r="B48" s="13"/>
      <c r="C48" s="9"/>
      <c r="D48" s="9"/>
      <c r="E48" s="9"/>
      <c r="F48" s="9"/>
      <c r="G48" s="9"/>
      <c r="H48" s="9"/>
      <c r="I48" s="9"/>
      <c r="J48" s="9"/>
      <c r="K48" s="9"/>
      <c r="L48" s="10" t="str">
        <f t="shared" si="1"/>
        <v/>
      </c>
      <c r="M48" s="9"/>
      <c r="N48" s="9"/>
      <c r="O48" s="9"/>
      <c r="P48" s="9"/>
      <c r="Q48" s="9"/>
      <c r="R48" s="9"/>
      <c r="S48" s="9"/>
      <c r="T48" s="9"/>
      <c r="U48" s="9"/>
      <c r="V48" s="10" t="str">
        <f t="shared" si="2"/>
        <v/>
      </c>
      <c r="W48" s="11" t="str">
        <f t="shared" si="3"/>
        <v/>
      </c>
      <c r="X48" s="11" t="str">
        <f t="shared" si="4"/>
        <v/>
      </c>
      <c r="Y48"/>
      <c r="AB48" s="42"/>
      <c r="AC48" s="42"/>
      <c r="AD48" s="42" t="str">
        <f t="shared" si="0"/>
        <v/>
      </c>
    </row>
    <row r="49" spans="1:30" x14ac:dyDescent="0.25">
      <c r="A49" s="12"/>
      <c r="B49" s="13"/>
      <c r="C49" s="9"/>
      <c r="D49" s="9"/>
      <c r="E49" s="9"/>
      <c r="F49" s="9"/>
      <c r="G49" s="9"/>
      <c r="H49" s="9"/>
      <c r="I49" s="9"/>
      <c r="J49" s="9"/>
      <c r="K49" s="9"/>
      <c r="L49" s="10" t="str">
        <f t="shared" si="1"/>
        <v/>
      </c>
      <c r="M49" s="9"/>
      <c r="N49" s="9"/>
      <c r="O49" s="9"/>
      <c r="P49" s="9"/>
      <c r="Q49" s="9"/>
      <c r="R49" s="9"/>
      <c r="S49" s="9"/>
      <c r="T49" s="9"/>
      <c r="U49" s="9"/>
      <c r="V49" s="10" t="str">
        <f t="shared" si="2"/>
        <v/>
      </c>
      <c r="W49" s="11" t="str">
        <f t="shared" si="3"/>
        <v/>
      </c>
      <c r="X49" s="11" t="str">
        <f t="shared" si="4"/>
        <v/>
      </c>
      <c r="Y49"/>
      <c r="AB49" s="42"/>
      <c r="AC49" s="42"/>
      <c r="AD49" s="42" t="str">
        <f t="shared" si="0"/>
        <v/>
      </c>
    </row>
    <row r="50" spans="1:30" x14ac:dyDescent="0.25">
      <c r="A50" s="12"/>
      <c r="B50" s="13"/>
      <c r="C50" s="9"/>
      <c r="D50" s="9"/>
      <c r="E50" s="9"/>
      <c r="F50" s="9"/>
      <c r="G50" s="9"/>
      <c r="H50" s="9"/>
      <c r="I50" s="9"/>
      <c r="J50" s="9"/>
      <c r="K50" s="9"/>
      <c r="L50" s="10" t="str">
        <f t="shared" si="1"/>
        <v/>
      </c>
      <c r="M50" s="9"/>
      <c r="N50" s="9"/>
      <c r="O50" s="9"/>
      <c r="P50" s="9"/>
      <c r="Q50" s="9"/>
      <c r="R50" s="9"/>
      <c r="S50" s="9"/>
      <c r="T50" s="9"/>
      <c r="U50" s="9"/>
      <c r="V50" s="10" t="str">
        <f t="shared" si="2"/>
        <v/>
      </c>
      <c r="W50" s="11" t="str">
        <f>IF(L50&lt;&gt;"",IF(M50="",(L50*2+(LOOKUP(B50,AB:AB,AD:AD)))+72,L50+V50+72+LOOKUP(B50,AB:AB,AD:AD)),"")</f>
        <v/>
      </c>
      <c r="X50" s="11" t="str">
        <f t="shared" si="4"/>
        <v/>
      </c>
      <c r="Y50"/>
      <c r="AB50" s="42"/>
      <c r="AC50" s="42"/>
      <c r="AD50" s="42" t="str">
        <f t="shared" si="0"/>
        <v/>
      </c>
    </row>
    <row r="51" spans="1:30" x14ac:dyDescent="0.25">
      <c r="A51" s="12"/>
      <c r="B51" s="13"/>
      <c r="C51" s="9"/>
      <c r="D51" s="9"/>
      <c r="E51" s="9"/>
      <c r="F51" s="9"/>
      <c r="G51" s="9"/>
      <c r="H51" s="9"/>
      <c r="I51" s="9"/>
      <c r="J51" s="9"/>
      <c r="K51" s="9"/>
      <c r="L51" s="10" t="str">
        <f t="shared" si="1"/>
        <v/>
      </c>
      <c r="M51" s="9"/>
      <c r="N51" s="9"/>
      <c r="O51" s="9"/>
      <c r="P51" s="9"/>
      <c r="Q51" s="9"/>
      <c r="R51" s="9"/>
      <c r="S51" s="9"/>
      <c r="T51" s="9"/>
      <c r="U51" s="9"/>
      <c r="V51" s="10" t="str">
        <f t="shared" si="2"/>
        <v/>
      </c>
      <c r="W51" s="11" t="str">
        <f t="shared" ref="W51:W60" si="5">IF(L51&lt;&gt;"",IF(M51="",(L51*2+(LOOKUP(B51,AB:AB,AD:AD)))+72,L51+V51+72+LOOKUP(B51,AB:AB,AD:AD)),"")</f>
        <v/>
      </c>
      <c r="X51" s="11" t="str">
        <f t="shared" si="4"/>
        <v/>
      </c>
      <c r="Y51"/>
      <c r="AB51" s="42"/>
      <c r="AC51" s="42"/>
      <c r="AD51" s="42" t="str">
        <f t="shared" si="0"/>
        <v/>
      </c>
    </row>
    <row r="52" spans="1:30" x14ac:dyDescent="0.25">
      <c r="A52" s="12"/>
      <c r="B52" s="13"/>
      <c r="C52" s="9"/>
      <c r="D52" s="9"/>
      <c r="E52" s="9"/>
      <c r="F52" s="9"/>
      <c r="G52" s="9"/>
      <c r="H52" s="9"/>
      <c r="I52" s="9"/>
      <c r="J52" s="9"/>
      <c r="K52" s="9"/>
      <c r="L52" s="10" t="str">
        <f t="shared" si="1"/>
        <v/>
      </c>
      <c r="M52" s="9"/>
      <c r="N52" s="9"/>
      <c r="O52" s="9"/>
      <c r="P52" s="9"/>
      <c r="Q52" s="9"/>
      <c r="R52" s="9"/>
      <c r="S52" s="9"/>
      <c r="T52" s="9"/>
      <c r="U52" s="9"/>
      <c r="V52" s="10" t="str">
        <f t="shared" si="2"/>
        <v/>
      </c>
      <c r="W52" s="11" t="str">
        <f t="shared" si="5"/>
        <v/>
      </c>
      <c r="X52" s="11" t="str">
        <f t="shared" si="4"/>
        <v/>
      </c>
      <c r="Y52"/>
      <c r="AB52" s="42"/>
      <c r="AC52" s="42"/>
      <c r="AD52" s="42" t="str">
        <f t="shared" si="0"/>
        <v/>
      </c>
    </row>
    <row r="53" spans="1:30" x14ac:dyDescent="0.25">
      <c r="A53" s="12"/>
      <c r="B53" s="13"/>
      <c r="C53" s="9"/>
      <c r="D53" s="9"/>
      <c r="E53" s="9"/>
      <c r="F53" s="9"/>
      <c r="G53" s="9"/>
      <c r="H53" s="9"/>
      <c r="I53" s="9"/>
      <c r="J53" s="9"/>
      <c r="K53" s="9"/>
      <c r="L53" s="10" t="str">
        <f t="shared" si="1"/>
        <v/>
      </c>
      <c r="M53" s="9"/>
      <c r="N53" s="9"/>
      <c r="O53" s="9"/>
      <c r="P53" s="9"/>
      <c r="Q53" s="9"/>
      <c r="R53" s="9"/>
      <c r="S53" s="9"/>
      <c r="T53" s="9"/>
      <c r="U53" s="9"/>
      <c r="V53" s="10" t="str">
        <f t="shared" si="2"/>
        <v/>
      </c>
      <c r="W53" s="11" t="str">
        <f t="shared" si="5"/>
        <v/>
      </c>
      <c r="X53" s="11" t="str">
        <f t="shared" si="4"/>
        <v/>
      </c>
      <c r="Y53"/>
      <c r="AB53" s="42"/>
      <c r="AC53" s="42"/>
      <c r="AD53" s="42" t="str">
        <f t="shared" si="0"/>
        <v/>
      </c>
    </row>
    <row r="54" spans="1:30" x14ac:dyDescent="0.25">
      <c r="A54" s="12"/>
      <c r="B54" s="13"/>
      <c r="C54" s="9"/>
      <c r="D54" s="9"/>
      <c r="E54" s="9"/>
      <c r="F54" s="9"/>
      <c r="G54" s="9"/>
      <c r="H54" s="9"/>
      <c r="I54" s="9"/>
      <c r="J54" s="9"/>
      <c r="K54" s="9"/>
      <c r="L54" s="10" t="str">
        <f t="shared" si="1"/>
        <v/>
      </c>
      <c r="M54" s="9"/>
      <c r="N54" s="9"/>
      <c r="O54" s="9"/>
      <c r="P54" s="9"/>
      <c r="Q54" s="9"/>
      <c r="R54" s="9"/>
      <c r="S54" s="9"/>
      <c r="T54" s="9"/>
      <c r="U54" s="9"/>
      <c r="V54" s="10" t="str">
        <f t="shared" si="2"/>
        <v/>
      </c>
      <c r="W54" s="11" t="str">
        <f t="shared" si="5"/>
        <v/>
      </c>
      <c r="X54" s="11" t="str">
        <f t="shared" si="4"/>
        <v/>
      </c>
      <c r="Y54"/>
      <c r="AB54" s="42"/>
      <c r="AC54" s="42"/>
      <c r="AD54" s="42" t="str">
        <f t="shared" si="0"/>
        <v/>
      </c>
    </row>
    <row r="55" spans="1:30" x14ac:dyDescent="0.25">
      <c r="A55" s="12"/>
      <c r="B55" s="13"/>
      <c r="C55" s="9"/>
      <c r="D55" s="9"/>
      <c r="E55" s="9"/>
      <c r="F55" s="9"/>
      <c r="G55" s="9"/>
      <c r="H55" s="9"/>
      <c r="I55" s="9"/>
      <c r="J55" s="9"/>
      <c r="K55" s="9"/>
      <c r="L55" s="10" t="str">
        <f t="shared" si="1"/>
        <v/>
      </c>
      <c r="M55" s="9"/>
      <c r="N55" s="9"/>
      <c r="O55" s="9"/>
      <c r="P55" s="9"/>
      <c r="Q55" s="9"/>
      <c r="R55" s="9"/>
      <c r="S55" s="9"/>
      <c r="T55" s="9"/>
      <c r="U55" s="9"/>
      <c r="V55" s="10" t="str">
        <f t="shared" si="2"/>
        <v/>
      </c>
      <c r="W55" s="11" t="str">
        <f t="shared" si="5"/>
        <v/>
      </c>
      <c r="X55" s="11" t="str">
        <f t="shared" si="4"/>
        <v/>
      </c>
      <c r="Y55"/>
      <c r="AB55" s="42"/>
      <c r="AC55" s="42"/>
      <c r="AD55" s="42" t="str">
        <f t="shared" si="0"/>
        <v/>
      </c>
    </row>
    <row r="56" spans="1:30" x14ac:dyDescent="0.25">
      <c r="A56" s="12"/>
      <c r="B56" s="13"/>
      <c r="C56" s="9"/>
      <c r="D56" s="9"/>
      <c r="E56" s="9"/>
      <c r="F56" s="9"/>
      <c r="G56" s="9"/>
      <c r="H56" s="9"/>
      <c r="I56" s="9"/>
      <c r="J56" s="9"/>
      <c r="K56" s="9"/>
      <c r="L56" s="10" t="str">
        <f t="shared" si="1"/>
        <v/>
      </c>
      <c r="M56" s="9"/>
      <c r="N56" s="9"/>
      <c r="O56" s="9"/>
      <c r="P56" s="9"/>
      <c r="Q56" s="9"/>
      <c r="R56" s="9"/>
      <c r="S56" s="9"/>
      <c r="T56" s="9"/>
      <c r="U56" s="9"/>
      <c r="V56" s="10" t="str">
        <f t="shared" si="2"/>
        <v/>
      </c>
      <c r="W56" s="11" t="str">
        <f t="shared" si="5"/>
        <v/>
      </c>
      <c r="X56" s="11" t="str">
        <f t="shared" si="4"/>
        <v/>
      </c>
      <c r="Y56"/>
      <c r="AB56" s="42"/>
      <c r="AC56" s="42"/>
      <c r="AD56" s="42" t="str">
        <f t="shared" si="0"/>
        <v/>
      </c>
    </row>
    <row r="57" spans="1:30" x14ac:dyDescent="0.25">
      <c r="A57" s="12"/>
      <c r="B57" s="13"/>
      <c r="C57" s="9"/>
      <c r="D57" s="9"/>
      <c r="E57" s="9"/>
      <c r="F57" s="9"/>
      <c r="G57" s="9"/>
      <c r="H57" s="9"/>
      <c r="I57" s="9"/>
      <c r="J57" s="9"/>
      <c r="K57" s="9"/>
      <c r="L57" s="10" t="str">
        <f t="shared" si="1"/>
        <v/>
      </c>
      <c r="M57" s="9"/>
      <c r="N57" s="9"/>
      <c r="O57" s="9"/>
      <c r="P57" s="9"/>
      <c r="Q57" s="9"/>
      <c r="R57" s="9"/>
      <c r="S57" s="9"/>
      <c r="T57" s="9"/>
      <c r="U57" s="9"/>
      <c r="V57" s="10" t="str">
        <f t="shared" si="2"/>
        <v/>
      </c>
      <c r="W57" s="11" t="str">
        <f t="shared" si="5"/>
        <v/>
      </c>
      <c r="X57" s="11" t="str">
        <f t="shared" si="4"/>
        <v/>
      </c>
      <c r="Y57"/>
      <c r="AB57" s="42"/>
      <c r="AC57" s="42"/>
      <c r="AD57" s="42" t="str">
        <f t="shared" si="0"/>
        <v/>
      </c>
    </row>
    <row r="58" spans="1:30" x14ac:dyDescent="0.25">
      <c r="A58" s="12"/>
      <c r="B58" s="13"/>
      <c r="C58" s="9"/>
      <c r="D58" s="9"/>
      <c r="E58" s="9"/>
      <c r="F58" s="9"/>
      <c r="G58" s="9"/>
      <c r="H58" s="9"/>
      <c r="I58" s="9"/>
      <c r="J58" s="9"/>
      <c r="K58" s="9"/>
      <c r="L58" s="10" t="str">
        <f t="shared" si="1"/>
        <v/>
      </c>
      <c r="M58" s="9"/>
      <c r="N58" s="9"/>
      <c r="O58" s="9"/>
      <c r="P58" s="9"/>
      <c r="Q58" s="9"/>
      <c r="R58" s="9"/>
      <c r="S58" s="9"/>
      <c r="T58" s="9"/>
      <c r="U58" s="9"/>
      <c r="V58" s="10" t="str">
        <f t="shared" si="2"/>
        <v/>
      </c>
      <c r="W58" s="11" t="str">
        <f t="shared" si="5"/>
        <v/>
      </c>
      <c r="X58" s="11" t="str">
        <f t="shared" si="4"/>
        <v/>
      </c>
      <c r="Y58"/>
      <c r="AB58" s="42"/>
      <c r="AC58" s="42"/>
      <c r="AD58" s="42" t="str">
        <f t="shared" si="0"/>
        <v/>
      </c>
    </row>
    <row r="59" spans="1:30" x14ac:dyDescent="0.25">
      <c r="A59" s="12"/>
      <c r="B59" s="13"/>
      <c r="C59" s="9"/>
      <c r="D59" s="9"/>
      <c r="E59" s="9"/>
      <c r="F59" s="9"/>
      <c r="G59" s="9"/>
      <c r="H59" s="9"/>
      <c r="I59" s="9"/>
      <c r="J59" s="9"/>
      <c r="K59" s="9"/>
      <c r="L59" s="10" t="str">
        <f t="shared" si="1"/>
        <v/>
      </c>
      <c r="M59" s="9"/>
      <c r="N59" s="9"/>
      <c r="O59" s="9"/>
      <c r="P59" s="9"/>
      <c r="Q59" s="9"/>
      <c r="R59" s="9"/>
      <c r="S59" s="9"/>
      <c r="T59" s="9"/>
      <c r="U59" s="9"/>
      <c r="V59" s="10" t="str">
        <f t="shared" si="2"/>
        <v/>
      </c>
      <c r="W59" s="11" t="str">
        <f t="shared" si="5"/>
        <v/>
      </c>
      <c r="X59" s="11" t="str">
        <f t="shared" si="4"/>
        <v/>
      </c>
      <c r="Y59"/>
      <c r="AB59" s="42"/>
      <c r="AC59" s="42"/>
      <c r="AD59" s="42" t="str">
        <f t="shared" si="0"/>
        <v/>
      </c>
    </row>
    <row r="60" spans="1:30" x14ac:dyDescent="0.25">
      <c r="A60" s="45"/>
      <c r="B60" s="14"/>
      <c r="C60" s="15"/>
      <c r="D60" s="15"/>
      <c r="E60" s="15"/>
      <c r="F60" s="15"/>
      <c r="G60" s="15"/>
      <c r="H60" s="15"/>
      <c r="I60" s="15"/>
      <c r="J60" s="15"/>
      <c r="K60" s="15"/>
      <c r="L60" s="16" t="str">
        <f t="shared" si="1"/>
        <v/>
      </c>
      <c r="M60" s="15"/>
      <c r="N60" s="15"/>
      <c r="O60" s="15"/>
      <c r="P60" s="15"/>
      <c r="Q60" s="15"/>
      <c r="R60" s="15"/>
      <c r="S60" s="15"/>
      <c r="T60" s="15"/>
      <c r="U60" s="15"/>
      <c r="V60" s="16" t="str">
        <f t="shared" si="2"/>
        <v/>
      </c>
      <c r="W60" s="17" t="str">
        <f t="shared" si="5"/>
        <v/>
      </c>
      <c r="X60" s="17" t="str">
        <f t="shared" si="4"/>
        <v/>
      </c>
      <c r="Y60"/>
      <c r="AB60" s="42"/>
      <c r="AC60" s="42"/>
      <c r="AD60" s="42" t="str">
        <f t="shared" si="0"/>
        <v/>
      </c>
    </row>
  </sheetData>
  <sheetProtection sheet="1" objects="1" scenarios="1" selectLockedCells="1"/>
  <sortState ref="AB3:AC7">
    <sortCondition ref="AB3"/>
  </sortState>
  <mergeCells count="47">
    <mergeCell ref="B1:C1"/>
    <mergeCell ref="D1:E1"/>
    <mergeCell ref="G1:L1"/>
    <mergeCell ref="M1:N1"/>
    <mergeCell ref="P1:V1"/>
    <mergeCell ref="R2:S2"/>
    <mergeCell ref="T2:U2"/>
    <mergeCell ref="B3:C3"/>
    <mergeCell ref="D3:E3"/>
    <mergeCell ref="G3:L3"/>
    <mergeCell ref="M3:N3"/>
    <mergeCell ref="P3:Q3"/>
    <mergeCell ref="R3:S3"/>
    <mergeCell ref="T3:U3"/>
    <mergeCell ref="B2:C2"/>
    <mergeCell ref="D2:E2"/>
    <mergeCell ref="G2:L2"/>
    <mergeCell ref="M2:N2"/>
    <mergeCell ref="P2:Q2"/>
    <mergeCell ref="T4:U4"/>
    <mergeCell ref="B5:C5"/>
    <mergeCell ref="D5:E5"/>
    <mergeCell ref="G5:L5"/>
    <mergeCell ref="M5:N5"/>
    <mergeCell ref="P5:Q5"/>
    <mergeCell ref="R5:S5"/>
    <mergeCell ref="T5:U5"/>
    <mergeCell ref="B4:C4"/>
    <mergeCell ref="D4:E4"/>
    <mergeCell ref="G4:L4"/>
    <mergeCell ref="M4:N4"/>
    <mergeCell ref="P4:Q4"/>
    <mergeCell ref="R4:S4"/>
    <mergeCell ref="T6:U6"/>
    <mergeCell ref="B7:C7"/>
    <mergeCell ref="D7:E7"/>
    <mergeCell ref="G7:L7"/>
    <mergeCell ref="M7:N7"/>
    <mergeCell ref="P7:Q7"/>
    <mergeCell ref="R7:S7"/>
    <mergeCell ref="T7:U7"/>
    <mergeCell ref="B6:C6"/>
    <mergeCell ref="D6:E6"/>
    <mergeCell ref="G6:L6"/>
    <mergeCell ref="M6:N6"/>
    <mergeCell ref="P6:Q6"/>
    <mergeCell ref="R6:S6"/>
  </mergeCells>
  <dataValidations count="1">
    <dataValidation type="list" allowBlank="1" showInputMessage="1" showErrorMessage="1" sqref="B11:B60" xr:uid="{00000000-0002-0000-0200-000000000000}">
      <formula1>$AB:$AB</formula1>
    </dataValidation>
  </dataValidations>
  <printOptions horizontalCentered="1"/>
  <pageMargins left="0.7" right="0.7" top="0.75" bottom="0.75" header="0.3" footer="0.3"/>
  <pageSetup scale="76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60"/>
  <sheetViews>
    <sheetView workbookViewId="0">
      <pane ySplit="10" topLeftCell="A11" activePane="bottomLeft" state="frozen"/>
      <selection pane="bottomLeft" activeCell="A29" sqref="A29"/>
    </sheetView>
  </sheetViews>
  <sheetFormatPr defaultRowHeight="15" x14ac:dyDescent="0.25"/>
  <cols>
    <col min="1" max="1" width="9.85546875" customWidth="1"/>
    <col min="2" max="2" width="16.42578125" customWidth="1"/>
    <col min="3" max="3" width="3" customWidth="1"/>
    <col min="4" max="11" width="3" style="1" customWidth="1"/>
    <col min="12" max="12" width="5.28515625" style="1" customWidth="1"/>
    <col min="13" max="21" width="3" style="1" customWidth="1"/>
    <col min="22" max="24" width="5.28515625" style="1" customWidth="1"/>
    <col min="25" max="25" width="2" style="1" customWidth="1"/>
    <col min="26" max="26" width="10.5703125" bestFit="1" customWidth="1"/>
    <col min="27" max="27" width="10.7109375" customWidth="1"/>
    <col min="28" max="28" width="19.85546875" style="44" customWidth="1"/>
    <col min="29" max="29" width="4.5703125" style="44" bestFit="1" customWidth="1"/>
    <col min="30" max="30" width="4.28515625" style="44" bestFit="1" customWidth="1"/>
  </cols>
  <sheetData>
    <row r="1" spans="1:30" x14ac:dyDescent="0.25">
      <c r="A1" s="2"/>
      <c r="B1" s="48" t="s">
        <v>39</v>
      </c>
      <c r="C1" s="49"/>
      <c r="D1" s="50">
        <f>ROUND(AVERAGE(W11:W60),0)</f>
        <v>99</v>
      </c>
      <c r="E1" s="51"/>
      <c r="G1" s="57" t="s">
        <v>2</v>
      </c>
      <c r="H1" s="58"/>
      <c r="I1" s="58"/>
      <c r="J1" s="58"/>
      <c r="K1" s="58"/>
      <c r="L1" s="58"/>
      <c r="M1" s="59">
        <f>MIN(W11:W60)</f>
        <v>90</v>
      </c>
      <c r="N1" s="60"/>
      <c r="P1" s="61" t="s">
        <v>0</v>
      </c>
      <c r="Q1" s="62"/>
      <c r="R1" s="62"/>
      <c r="S1" s="62"/>
      <c r="T1" s="62"/>
      <c r="U1" s="62"/>
      <c r="V1" s="63"/>
      <c r="Z1" s="35"/>
      <c r="AA1" s="35"/>
      <c r="AB1" s="41" t="s">
        <v>37</v>
      </c>
      <c r="AC1" s="41" t="s">
        <v>35</v>
      </c>
      <c r="AD1" s="41" t="s">
        <v>36</v>
      </c>
    </row>
    <row r="2" spans="1:30" x14ac:dyDescent="0.25">
      <c r="A2" s="2"/>
      <c r="B2" s="48" t="s">
        <v>42</v>
      </c>
      <c r="C2" s="49"/>
      <c r="D2" s="50">
        <f>AVERAGEIF(X:X,"&gt;0")</f>
        <v>27.166666666666668</v>
      </c>
      <c r="E2" s="51"/>
      <c r="G2" s="48"/>
      <c r="H2" s="49"/>
      <c r="I2" s="49"/>
      <c r="J2" s="49"/>
      <c r="K2" s="49"/>
      <c r="L2" s="49"/>
      <c r="M2" s="54"/>
      <c r="N2" s="55"/>
      <c r="P2" s="46" t="s">
        <v>3</v>
      </c>
      <c r="Q2" s="47"/>
      <c r="R2" s="53">
        <v>220</v>
      </c>
      <c r="S2" s="53"/>
      <c r="T2" s="52" t="s">
        <v>4</v>
      </c>
      <c r="U2" s="47"/>
      <c r="V2" s="3">
        <v>150</v>
      </c>
      <c r="Z2" s="36"/>
      <c r="AA2" s="36"/>
      <c r="AB2" s="42"/>
      <c r="AC2" s="42"/>
      <c r="AD2" s="42" t="str">
        <f>IF(AC2&lt;&gt;"",AC2-72,"")</f>
        <v/>
      </c>
    </row>
    <row r="3" spans="1:30" x14ac:dyDescent="0.25">
      <c r="A3" s="2"/>
      <c r="B3" s="48" t="s">
        <v>10</v>
      </c>
      <c r="C3" s="49"/>
      <c r="D3" s="50">
        <f>COUNTIF(C11:V60,-1)</f>
        <v>2</v>
      </c>
      <c r="E3" s="51"/>
      <c r="G3" s="48" t="s">
        <v>11</v>
      </c>
      <c r="H3" s="49"/>
      <c r="I3" s="49"/>
      <c r="J3" s="49"/>
      <c r="K3" s="49"/>
      <c r="L3" s="49"/>
      <c r="M3" s="54">
        <f>D3/$M$7</f>
        <v>6.1728395061728392E-3</v>
      </c>
      <c r="N3" s="55"/>
      <c r="P3" s="46" t="s">
        <v>7</v>
      </c>
      <c r="Q3" s="47"/>
      <c r="R3" s="53">
        <v>200</v>
      </c>
      <c r="S3" s="53"/>
      <c r="T3" s="52" t="s">
        <v>8</v>
      </c>
      <c r="U3" s="47"/>
      <c r="V3" s="3">
        <v>140</v>
      </c>
      <c r="Z3" s="36"/>
      <c r="AA3" s="36"/>
      <c r="AB3" s="42" t="s">
        <v>9</v>
      </c>
      <c r="AC3" s="42">
        <v>72</v>
      </c>
      <c r="AD3" s="42">
        <f t="shared" ref="AD3:AD60" si="0">IF(AC3&lt;&gt;"",AC3-72,"")</f>
        <v>0</v>
      </c>
    </row>
    <row r="4" spans="1:30" x14ac:dyDescent="0.25">
      <c r="B4" s="48" t="s">
        <v>15</v>
      </c>
      <c r="C4" s="49"/>
      <c r="D4" s="50">
        <f>COUNTIF(C11:V60,0)</f>
        <v>49</v>
      </c>
      <c r="E4" s="51"/>
      <c r="G4" s="48" t="s">
        <v>16</v>
      </c>
      <c r="H4" s="49"/>
      <c r="I4" s="49"/>
      <c r="J4" s="49"/>
      <c r="K4" s="49"/>
      <c r="L4" s="49"/>
      <c r="M4" s="54">
        <f>D4/$M$7</f>
        <v>0.15123456790123457</v>
      </c>
      <c r="N4" s="55"/>
      <c r="P4" s="46" t="s">
        <v>12</v>
      </c>
      <c r="Q4" s="47"/>
      <c r="R4" s="53">
        <v>190</v>
      </c>
      <c r="S4" s="53"/>
      <c r="T4" s="52" t="s">
        <v>13</v>
      </c>
      <c r="U4" s="47"/>
      <c r="V4" s="3">
        <v>130</v>
      </c>
      <c r="Z4" s="36"/>
      <c r="AA4" s="36"/>
      <c r="AB4" s="42" t="s">
        <v>24</v>
      </c>
      <c r="AC4" s="42">
        <v>72</v>
      </c>
      <c r="AD4" s="42">
        <f t="shared" si="0"/>
        <v>0</v>
      </c>
    </row>
    <row r="5" spans="1:30" x14ac:dyDescent="0.25">
      <c r="B5" s="48" t="s">
        <v>20</v>
      </c>
      <c r="C5" s="49"/>
      <c r="D5" s="50">
        <f>COUNTIF(C11:V60,1)</f>
        <v>112</v>
      </c>
      <c r="E5" s="51"/>
      <c r="G5" s="48" t="s">
        <v>21</v>
      </c>
      <c r="H5" s="49"/>
      <c r="I5" s="49"/>
      <c r="J5" s="49"/>
      <c r="K5" s="49"/>
      <c r="L5" s="49"/>
      <c r="M5" s="54">
        <f>D5/$M$7</f>
        <v>0.34567901234567899</v>
      </c>
      <c r="N5" s="55"/>
      <c r="P5" s="56" t="s">
        <v>17</v>
      </c>
      <c r="Q5" s="47"/>
      <c r="R5" s="53">
        <v>180</v>
      </c>
      <c r="S5" s="53"/>
      <c r="T5" s="52" t="s">
        <v>18</v>
      </c>
      <c r="U5" s="47"/>
      <c r="V5" s="3">
        <v>120</v>
      </c>
      <c r="Z5" s="36"/>
      <c r="AA5" s="36"/>
      <c r="AB5" s="42" t="s">
        <v>19</v>
      </c>
      <c r="AC5" s="42">
        <v>72</v>
      </c>
      <c r="AD5" s="42">
        <f t="shared" si="0"/>
        <v>0</v>
      </c>
    </row>
    <row r="6" spans="1:30" x14ac:dyDescent="0.25">
      <c r="B6" s="48" t="s">
        <v>25</v>
      </c>
      <c r="C6" s="49"/>
      <c r="D6" s="50">
        <f>COUNTIF(C11:V60,2)</f>
        <v>114</v>
      </c>
      <c r="E6" s="51"/>
      <c r="G6" s="48" t="s">
        <v>26</v>
      </c>
      <c r="H6" s="49"/>
      <c r="I6" s="49"/>
      <c r="J6" s="49"/>
      <c r="K6" s="49"/>
      <c r="L6" s="49"/>
      <c r="M6" s="54">
        <f>D6/$M$7</f>
        <v>0.35185185185185186</v>
      </c>
      <c r="N6" s="55"/>
      <c r="P6" s="56" t="s">
        <v>22</v>
      </c>
      <c r="Q6" s="47"/>
      <c r="R6" s="53">
        <v>170</v>
      </c>
      <c r="S6" s="53"/>
      <c r="T6" s="46" t="s">
        <v>23</v>
      </c>
      <c r="U6" s="47"/>
      <c r="V6" s="3">
        <v>110</v>
      </c>
      <c r="Z6" s="36"/>
      <c r="AA6" s="36"/>
      <c r="AB6" s="42" t="s">
        <v>34</v>
      </c>
      <c r="AC6" s="42">
        <v>70</v>
      </c>
      <c r="AD6" s="42">
        <f t="shared" si="0"/>
        <v>-2</v>
      </c>
    </row>
    <row r="7" spans="1:30" x14ac:dyDescent="0.25">
      <c r="B7" s="48" t="s">
        <v>40</v>
      </c>
      <c r="C7" s="49"/>
      <c r="D7" s="50">
        <f>COUNTA(A10:A60)-1</f>
        <v>18</v>
      </c>
      <c r="E7" s="51"/>
      <c r="G7" s="48" t="s">
        <v>38</v>
      </c>
      <c r="H7" s="49"/>
      <c r="I7" s="49"/>
      <c r="J7" s="49"/>
      <c r="K7" s="49"/>
      <c r="L7" s="49"/>
      <c r="M7" s="50">
        <f>COUNT(C11:K60)+COUNT(M11:U60)</f>
        <v>324</v>
      </c>
      <c r="N7" s="51"/>
      <c r="P7" s="52" t="s">
        <v>27</v>
      </c>
      <c r="Q7" s="47"/>
      <c r="R7" s="53">
        <v>160</v>
      </c>
      <c r="S7" s="53"/>
      <c r="T7" s="46" t="s">
        <v>28</v>
      </c>
      <c r="U7" s="47"/>
      <c r="V7" s="3">
        <v>100</v>
      </c>
      <c r="Z7" s="36"/>
      <c r="AA7" s="36"/>
      <c r="AB7" s="42" t="s">
        <v>14</v>
      </c>
      <c r="AC7" s="42">
        <v>72</v>
      </c>
      <c r="AD7" s="42">
        <f t="shared" si="0"/>
        <v>0</v>
      </c>
    </row>
    <row r="8" spans="1:30" x14ac:dyDescent="0.25">
      <c r="O8" s="37"/>
      <c r="P8" s="38"/>
      <c r="Q8" s="39"/>
      <c r="R8" s="40"/>
      <c r="S8" s="40"/>
      <c r="T8" s="39"/>
      <c r="U8" s="39"/>
      <c r="V8" s="40"/>
      <c r="W8" s="37"/>
      <c r="Z8" s="36"/>
      <c r="AA8" s="36"/>
      <c r="AB8" s="42"/>
      <c r="AC8" s="42"/>
      <c r="AD8" s="42" t="str">
        <f t="shared" si="0"/>
        <v/>
      </c>
    </row>
    <row r="9" spans="1:30" x14ac:dyDescent="0.25">
      <c r="Z9" s="36"/>
      <c r="AA9" s="36"/>
      <c r="AB9" s="42"/>
      <c r="AC9" s="42"/>
      <c r="AD9" s="42" t="str">
        <f t="shared" si="0"/>
        <v/>
      </c>
    </row>
    <row r="10" spans="1:30" s="6" customFormat="1" x14ac:dyDescent="0.25">
      <c r="A10" s="4" t="s">
        <v>29</v>
      </c>
      <c r="B10" s="4" t="s">
        <v>1</v>
      </c>
      <c r="C10" s="4">
        <v>1</v>
      </c>
      <c r="D10" s="4">
        <v>2</v>
      </c>
      <c r="E10" s="4">
        <v>3</v>
      </c>
      <c r="F10" s="4">
        <v>4</v>
      </c>
      <c r="G10" s="4">
        <v>5</v>
      </c>
      <c r="H10" s="4">
        <v>6</v>
      </c>
      <c r="I10" s="4">
        <v>7</v>
      </c>
      <c r="J10" s="4">
        <v>8</v>
      </c>
      <c r="K10" s="4">
        <v>9</v>
      </c>
      <c r="L10" s="5" t="s">
        <v>30</v>
      </c>
      <c r="M10" s="4">
        <v>10</v>
      </c>
      <c r="N10" s="4">
        <v>11</v>
      </c>
      <c r="O10" s="4">
        <v>12</v>
      </c>
      <c r="P10" s="4">
        <v>13</v>
      </c>
      <c r="Q10" s="4">
        <v>14</v>
      </c>
      <c r="R10" s="4">
        <v>15</v>
      </c>
      <c r="S10" s="4">
        <v>16</v>
      </c>
      <c r="T10" s="4">
        <v>17</v>
      </c>
      <c r="U10" s="4">
        <v>18</v>
      </c>
      <c r="V10" s="5" t="s">
        <v>31</v>
      </c>
      <c r="W10" s="4" t="s">
        <v>32</v>
      </c>
      <c r="X10" s="4" t="s">
        <v>33</v>
      </c>
      <c r="AB10" s="43"/>
      <c r="AC10" s="43"/>
      <c r="AD10" s="42" t="str">
        <f t="shared" si="0"/>
        <v/>
      </c>
    </row>
    <row r="11" spans="1:30" x14ac:dyDescent="0.25">
      <c r="A11" s="12">
        <v>40915</v>
      </c>
      <c r="B11" s="13" t="s">
        <v>19</v>
      </c>
      <c r="C11" s="9">
        <v>1</v>
      </c>
      <c r="D11" s="9">
        <v>3</v>
      </c>
      <c r="E11" s="9">
        <v>1</v>
      </c>
      <c r="F11" s="9">
        <v>0</v>
      </c>
      <c r="G11" s="9">
        <v>2</v>
      </c>
      <c r="H11" s="9">
        <v>2</v>
      </c>
      <c r="I11" s="9">
        <v>1</v>
      </c>
      <c r="J11" s="9">
        <v>0</v>
      </c>
      <c r="K11" s="9">
        <v>1</v>
      </c>
      <c r="L11" s="10">
        <f t="shared" ref="L11:L60" si="1">IF(C11&lt;&gt;"",SUM(C11:K11),"")</f>
        <v>11</v>
      </c>
      <c r="M11" s="9">
        <v>0</v>
      </c>
      <c r="N11" s="9">
        <v>2</v>
      </c>
      <c r="O11" s="9">
        <v>1</v>
      </c>
      <c r="P11" s="9">
        <v>1</v>
      </c>
      <c r="Q11" s="9">
        <v>0</v>
      </c>
      <c r="R11" s="9">
        <v>1</v>
      </c>
      <c r="S11" s="9">
        <v>1</v>
      </c>
      <c r="T11" s="9">
        <v>0</v>
      </c>
      <c r="U11" s="9">
        <v>1</v>
      </c>
      <c r="V11" s="10">
        <f t="shared" ref="V11:V60" si="2">IF(M11&lt;&gt;"",SUM(M11:U11),"")</f>
        <v>7</v>
      </c>
      <c r="W11" s="11">
        <f t="shared" ref="W11:W49" si="3">IF(L11&lt;&gt;"",IF(M11="",(L11*2+(LOOKUP(B11,AB:AB,AD:AD)))+72,L11+V11+72+LOOKUP(B11,AB:AB,AD:AD)),"")</f>
        <v>90</v>
      </c>
      <c r="X11" s="11">
        <f t="shared" ref="X11:X60" si="4">IF(W11&lt;&gt;"",W11-72,"")</f>
        <v>18</v>
      </c>
      <c r="Y11"/>
      <c r="AB11" s="42"/>
      <c r="AC11" s="42"/>
      <c r="AD11" s="42" t="str">
        <f t="shared" si="0"/>
        <v/>
      </c>
    </row>
    <row r="12" spans="1:30" x14ac:dyDescent="0.25">
      <c r="A12" s="12">
        <v>40959</v>
      </c>
      <c r="B12" s="13" t="s">
        <v>19</v>
      </c>
      <c r="C12" s="9">
        <v>2</v>
      </c>
      <c r="D12" s="9">
        <v>0</v>
      </c>
      <c r="E12" s="9">
        <v>4</v>
      </c>
      <c r="F12" s="9">
        <v>2</v>
      </c>
      <c r="G12" s="9">
        <v>1</v>
      </c>
      <c r="H12" s="9">
        <v>3</v>
      </c>
      <c r="I12" s="9">
        <v>0</v>
      </c>
      <c r="J12" s="9">
        <v>1</v>
      </c>
      <c r="K12" s="9">
        <v>2</v>
      </c>
      <c r="L12" s="10">
        <f t="shared" si="1"/>
        <v>15</v>
      </c>
      <c r="M12" s="9">
        <v>2</v>
      </c>
      <c r="N12" s="9">
        <v>2</v>
      </c>
      <c r="O12" s="9">
        <v>0</v>
      </c>
      <c r="P12" s="9">
        <v>1</v>
      </c>
      <c r="Q12" s="9">
        <v>1</v>
      </c>
      <c r="R12" s="9">
        <v>0</v>
      </c>
      <c r="S12" s="9">
        <v>2</v>
      </c>
      <c r="T12" s="9">
        <v>0</v>
      </c>
      <c r="U12" s="9">
        <v>2</v>
      </c>
      <c r="V12" s="10">
        <f t="shared" si="2"/>
        <v>10</v>
      </c>
      <c r="W12" s="11">
        <f t="shared" si="3"/>
        <v>97</v>
      </c>
      <c r="X12" s="11">
        <f t="shared" si="4"/>
        <v>25</v>
      </c>
      <c r="Y12"/>
      <c r="AB12" s="42"/>
      <c r="AC12" s="42"/>
      <c r="AD12" s="42" t="str">
        <f t="shared" si="0"/>
        <v/>
      </c>
    </row>
    <row r="13" spans="1:30" x14ac:dyDescent="0.25">
      <c r="A13" s="12">
        <v>40985</v>
      </c>
      <c r="B13" s="13" t="s">
        <v>19</v>
      </c>
      <c r="C13" s="9">
        <v>3</v>
      </c>
      <c r="D13" s="9">
        <v>2</v>
      </c>
      <c r="E13" s="9">
        <v>4</v>
      </c>
      <c r="F13" s="9">
        <v>0</v>
      </c>
      <c r="G13" s="9">
        <v>2</v>
      </c>
      <c r="H13" s="9">
        <v>2</v>
      </c>
      <c r="I13" s="9">
        <v>0</v>
      </c>
      <c r="J13" s="9">
        <v>0</v>
      </c>
      <c r="K13" s="9">
        <v>0</v>
      </c>
      <c r="L13" s="10">
        <f t="shared" si="1"/>
        <v>13</v>
      </c>
      <c r="M13" s="9">
        <v>2</v>
      </c>
      <c r="N13" s="9">
        <v>1</v>
      </c>
      <c r="O13" s="9">
        <v>1</v>
      </c>
      <c r="P13" s="9">
        <v>2</v>
      </c>
      <c r="Q13" s="9">
        <v>2</v>
      </c>
      <c r="R13" s="9">
        <v>1</v>
      </c>
      <c r="S13" s="9">
        <v>2</v>
      </c>
      <c r="T13" s="9">
        <v>4</v>
      </c>
      <c r="U13" s="9">
        <v>2</v>
      </c>
      <c r="V13" s="10">
        <f t="shared" si="2"/>
        <v>17</v>
      </c>
      <c r="W13" s="11">
        <f t="shared" si="3"/>
        <v>102</v>
      </c>
      <c r="X13" s="11">
        <f t="shared" si="4"/>
        <v>30</v>
      </c>
      <c r="Y13"/>
      <c r="AB13" s="42"/>
      <c r="AC13" s="42"/>
      <c r="AD13" s="42" t="str">
        <f t="shared" si="0"/>
        <v/>
      </c>
    </row>
    <row r="14" spans="1:30" x14ac:dyDescent="0.25">
      <c r="A14" s="12">
        <v>40993</v>
      </c>
      <c r="B14" s="13" t="s">
        <v>19</v>
      </c>
      <c r="C14" s="9">
        <v>2</v>
      </c>
      <c r="D14" s="9">
        <v>2</v>
      </c>
      <c r="E14" s="9">
        <v>5</v>
      </c>
      <c r="F14" s="9">
        <v>1</v>
      </c>
      <c r="G14" s="9">
        <v>3</v>
      </c>
      <c r="H14" s="9">
        <v>3</v>
      </c>
      <c r="I14" s="9">
        <v>2</v>
      </c>
      <c r="J14" s="9">
        <v>1</v>
      </c>
      <c r="K14" s="9">
        <v>1</v>
      </c>
      <c r="L14" s="10">
        <f t="shared" si="1"/>
        <v>20</v>
      </c>
      <c r="M14" s="9">
        <v>2</v>
      </c>
      <c r="N14" s="9">
        <v>4</v>
      </c>
      <c r="O14" s="9">
        <v>2</v>
      </c>
      <c r="P14" s="9">
        <v>3</v>
      </c>
      <c r="Q14" s="9">
        <v>2</v>
      </c>
      <c r="R14" s="9">
        <v>1</v>
      </c>
      <c r="S14" s="9">
        <v>1</v>
      </c>
      <c r="T14" s="9">
        <v>0</v>
      </c>
      <c r="U14" s="9">
        <v>1</v>
      </c>
      <c r="V14" s="10">
        <f t="shared" si="2"/>
        <v>16</v>
      </c>
      <c r="W14" s="11">
        <f t="shared" si="3"/>
        <v>108</v>
      </c>
      <c r="X14" s="11">
        <f t="shared" si="4"/>
        <v>36</v>
      </c>
      <c r="Y14"/>
      <c r="AB14" s="42"/>
      <c r="AC14" s="42"/>
      <c r="AD14" s="42" t="str">
        <f t="shared" si="0"/>
        <v/>
      </c>
    </row>
    <row r="15" spans="1:30" x14ac:dyDescent="0.25">
      <c r="A15" s="12">
        <v>40999</v>
      </c>
      <c r="B15" s="13" t="s">
        <v>19</v>
      </c>
      <c r="C15" s="9">
        <v>1</v>
      </c>
      <c r="D15" s="9">
        <v>4</v>
      </c>
      <c r="E15" s="9">
        <v>1</v>
      </c>
      <c r="F15" s="9">
        <v>2</v>
      </c>
      <c r="G15" s="9">
        <v>2</v>
      </c>
      <c r="H15" s="9">
        <v>2</v>
      </c>
      <c r="I15" s="9">
        <v>1</v>
      </c>
      <c r="J15" s="9">
        <v>4</v>
      </c>
      <c r="K15" s="9">
        <v>0</v>
      </c>
      <c r="L15" s="10">
        <f t="shared" si="1"/>
        <v>17</v>
      </c>
      <c r="M15" s="9">
        <v>2</v>
      </c>
      <c r="N15" s="9">
        <v>1</v>
      </c>
      <c r="O15" s="9">
        <v>3</v>
      </c>
      <c r="P15" s="9">
        <v>2</v>
      </c>
      <c r="Q15" s="9">
        <v>1</v>
      </c>
      <c r="R15" s="9">
        <v>3</v>
      </c>
      <c r="S15" s="9">
        <v>0</v>
      </c>
      <c r="T15" s="9">
        <v>0</v>
      </c>
      <c r="U15" s="9">
        <v>2</v>
      </c>
      <c r="V15" s="10">
        <f t="shared" si="2"/>
        <v>14</v>
      </c>
      <c r="W15" s="11">
        <f t="shared" si="3"/>
        <v>103</v>
      </c>
      <c r="X15" s="11">
        <f t="shared" si="4"/>
        <v>31</v>
      </c>
      <c r="Y15"/>
      <c r="AB15" s="42"/>
      <c r="AC15" s="42"/>
      <c r="AD15" s="42" t="str">
        <f t="shared" si="0"/>
        <v/>
      </c>
    </row>
    <row r="16" spans="1:30" x14ac:dyDescent="0.25">
      <c r="A16" s="12">
        <v>41007</v>
      </c>
      <c r="B16" s="13" t="s">
        <v>14</v>
      </c>
      <c r="C16" s="9">
        <v>2</v>
      </c>
      <c r="D16" s="9">
        <v>2</v>
      </c>
      <c r="E16" s="9">
        <v>3</v>
      </c>
      <c r="F16" s="9">
        <v>2</v>
      </c>
      <c r="G16" s="9">
        <v>2</v>
      </c>
      <c r="H16" s="9">
        <v>2</v>
      </c>
      <c r="I16" s="9">
        <v>1</v>
      </c>
      <c r="J16" s="9">
        <v>1</v>
      </c>
      <c r="K16" s="9">
        <v>1</v>
      </c>
      <c r="L16" s="10">
        <f t="shared" si="1"/>
        <v>16</v>
      </c>
      <c r="M16" s="9">
        <v>1</v>
      </c>
      <c r="N16" s="9">
        <v>4</v>
      </c>
      <c r="O16" s="9">
        <v>1</v>
      </c>
      <c r="P16" s="9">
        <v>2</v>
      </c>
      <c r="Q16" s="9">
        <v>0</v>
      </c>
      <c r="R16" s="9">
        <v>2</v>
      </c>
      <c r="S16" s="9">
        <v>0</v>
      </c>
      <c r="T16" s="9">
        <v>2</v>
      </c>
      <c r="U16" s="9">
        <v>1</v>
      </c>
      <c r="V16" s="10">
        <f t="shared" si="2"/>
        <v>13</v>
      </c>
      <c r="W16" s="11">
        <f t="shared" si="3"/>
        <v>101</v>
      </c>
      <c r="X16" s="11">
        <f t="shared" si="4"/>
        <v>29</v>
      </c>
      <c r="Y16"/>
      <c r="AB16" s="42"/>
      <c r="AC16" s="42"/>
      <c r="AD16" s="42" t="str">
        <f t="shared" si="0"/>
        <v/>
      </c>
    </row>
    <row r="17" spans="1:30" x14ac:dyDescent="0.25">
      <c r="A17" s="12">
        <v>41020</v>
      </c>
      <c r="B17" s="13" t="s">
        <v>14</v>
      </c>
      <c r="C17" s="9">
        <v>2</v>
      </c>
      <c r="D17" s="9">
        <v>3</v>
      </c>
      <c r="E17" s="9">
        <v>2</v>
      </c>
      <c r="F17" s="9">
        <v>0</v>
      </c>
      <c r="G17" s="9">
        <v>2</v>
      </c>
      <c r="H17" s="9">
        <v>2</v>
      </c>
      <c r="I17" s="9">
        <v>1</v>
      </c>
      <c r="J17" s="9">
        <v>2</v>
      </c>
      <c r="K17" s="9">
        <v>2</v>
      </c>
      <c r="L17" s="10">
        <f t="shared" si="1"/>
        <v>16</v>
      </c>
      <c r="M17" s="9">
        <v>1</v>
      </c>
      <c r="N17" s="9">
        <v>2</v>
      </c>
      <c r="O17" s="9">
        <v>0</v>
      </c>
      <c r="P17" s="9">
        <v>0</v>
      </c>
      <c r="Q17" s="9">
        <v>1</v>
      </c>
      <c r="R17" s="9">
        <v>1</v>
      </c>
      <c r="S17" s="9">
        <v>-1</v>
      </c>
      <c r="T17" s="9">
        <v>0</v>
      </c>
      <c r="U17" s="9">
        <v>2</v>
      </c>
      <c r="V17" s="10">
        <f t="shared" si="2"/>
        <v>6</v>
      </c>
      <c r="W17" s="11">
        <f t="shared" si="3"/>
        <v>94</v>
      </c>
      <c r="X17" s="11">
        <f t="shared" si="4"/>
        <v>22</v>
      </c>
      <c r="Y17"/>
      <c r="AB17" s="42"/>
      <c r="AC17" s="42"/>
      <c r="AD17" s="42" t="str">
        <f t="shared" si="0"/>
        <v/>
      </c>
    </row>
    <row r="18" spans="1:30" x14ac:dyDescent="0.25">
      <c r="A18" s="12">
        <v>41027</v>
      </c>
      <c r="B18" s="13" t="s">
        <v>19</v>
      </c>
      <c r="C18" s="9">
        <v>1</v>
      </c>
      <c r="D18" s="9">
        <v>1</v>
      </c>
      <c r="E18" s="9">
        <v>1</v>
      </c>
      <c r="F18" s="9">
        <v>1</v>
      </c>
      <c r="G18" s="9">
        <v>3</v>
      </c>
      <c r="H18" s="9">
        <v>1</v>
      </c>
      <c r="I18" s="9">
        <v>0</v>
      </c>
      <c r="J18" s="9">
        <v>1</v>
      </c>
      <c r="K18" s="9">
        <v>1</v>
      </c>
      <c r="L18" s="10">
        <f t="shared" si="1"/>
        <v>10</v>
      </c>
      <c r="M18" s="9">
        <v>3</v>
      </c>
      <c r="N18" s="9">
        <v>0</v>
      </c>
      <c r="O18" s="9">
        <v>1</v>
      </c>
      <c r="P18" s="9">
        <v>0</v>
      </c>
      <c r="Q18" s="9">
        <v>1</v>
      </c>
      <c r="R18" s="9">
        <v>1</v>
      </c>
      <c r="S18" s="9">
        <v>2</v>
      </c>
      <c r="T18" s="9">
        <v>2</v>
      </c>
      <c r="U18" s="9">
        <v>4</v>
      </c>
      <c r="V18" s="10">
        <f t="shared" si="2"/>
        <v>14</v>
      </c>
      <c r="W18" s="11">
        <f t="shared" si="3"/>
        <v>96</v>
      </c>
      <c r="X18" s="11">
        <f t="shared" si="4"/>
        <v>24</v>
      </c>
      <c r="Y18"/>
      <c r="AB18" s="42"/>
      <c r="AC18" s="42"/>
      <c r="AD18" s="42" t="str">
        <f t="shared" si="0"/>
        <v/>
      </c>
    </row>
    <row r="19" spans="1:30" x14ac:dyDescent="0.25">
      <c r="A19" s="12">
        <v>41034</v>
      </c>
      <c r="B19" s="13" t="s">
        <v>19</v>
      </c>
      <c r="C19" s="9">
        <v>4</v>
      </c>
      <c r="D19" s="9">
        <v>1</v>
      </c>
      <c r="E19" s="9">
        <v>2</v>
      </c>
      <c r="F19" s="9">
        <v>1</v>
      </c>
      <c r="G19" s="9">
        <v>1</v>
      </c>
      <c r="H19" s="9">
        <v>1</v>
      </c>
      <c r="I19" s="9">
        <v>2</v>
      </c>
      <c r="J19" s="9">
        <v>1</v>
      </c>
      <c r="K19" s="9">
        <v>1</v>
      </c>
      <c r="L19" s="10">
        <f t="shared" si="1"/>
        <v>14</v>
      </c>
      <c r="M19" s="9">
        <v>1</v>
      </c>
      <c r="N19" s="9">
        <v>2</v>
      </c>
      <c r="O19" s="9">
        <v>2</v>
      </c>
      <c r="P19" s="9">
        <v>0</v>
      </c>
      <c r="Q19" s="9">
        <v>2</v>
      </c>
      <c r="R19" s="9">
        <v>2</v>
      </c>
      <c r="S19" s="9">
        <v>2</v>
      </c>
      <c r="T19" s="9">
        <v>2</v>
      </c>
      <c r="U19" s="9">
        <v>1</v>
      </c>
      <c r="V19" s="10">
        <f t="shared" si="2"/>
        <v>14</v>
      </c>
      <c r="W19" s="11">
        <f t="shared" si="3"/>
        <v>100</v>
      </c>
      <c r="X19" s="11">
        <f t="shared" si="4"/>
        <v>28</v>
      </c>
      <c r="Y19"/>
      <c r="AB19" s="42"/>
      <c r="AC19" s="42"/>
      <c r="AD19" s="42" t="str">
        <f t="shared" si="0"/>
        <v/>
      </c>
    </row>
    <row r="20" spans="1:30" x14ac:dyDescent="0.25">
      <c r="A20" s="12">
        <v>41041</v>
      </c>
      <c r="B20" s="13" t="s">
        <v>19</v>
      </c>
      <c r="C20" s="9">
        <v>3</v>
      </c>
      <c r="D20" s="9">
        <v>1</v>
      </c>
      <c r="E20" s="9">
        <v>0</v>
      </c>
      <c r="F20" s="9">
        <v>3</v>
      </c>
      <c r="G20" s="9">
        <v>2</v>
      </c>
      <c r="H20" s="9">
        <v>2</v>
      </c>
      <c r="I20" s="9">
        <v>1</v>
      </c>
      <c r="J20" s="9">
        <v>1</v>
      </c>
      <c r="K20" s="9">
        <v>1</v>
      </c>
      <c r="L20" s="10">
        <f t="shared" si="1"/>
        <v>14</v>
      </c>
      <c r="M20" s="9">
        <v>1</v>
      </c>
      <c r="N20" s="9">
        <v>2</v>
      </c>
      <c r="O20" s="9">
        <v>1</v>
      </c>
      <c r="P20" s="9">
        <v>2</v>
      </c>
      <c r="Q20" s="9">
        <v>2</v>
      </c>
      <c r="R20" s="9">
        <v>3</v>
      </c>
      <c r="S20" s="9">
        <v>3</v>
      </c>
      <c r="T20" s="9">
        <v>0</v>
      </c>
      <c r="U20" s="9">
        <v>2</v>
      </c>
      <c r="V20" s="10">
        <f t="shared" si="2"/>
        <v>16</v>
      </c>
      <c r="W20" s="11">
        <f t="shared" si="3"/>
        <v>102</v>
      </c>
      <c r="X20" s="11">
        <f t="shared" si="4"/>
        <v>30</v>
      </c>
      <c r="Y20"/>
      <c r="AB20" s="42"/>
      <c r="AC20" s="42"/>
      <c r="AD20" s="42" t="str">
        <f t="shared" si="0"/>
        <v/>
      </c>
    </row>
    <row r="21" spans="1:30" x14ac:dyDescent="0.25">
      <c r="A21" s="12">
        <v>41055</v>
      </c>
      <c r="B21" s="13" t="s">
        <v>34</v>
      </c>
      <c r="C21" s="9">
        <v>2</v>
      </c>
      <c r="D21" s="9">
        <v>1</v>
      </c>
      <c r="E21" s="9">
        <v>2</v>
      </c>
      <c r="F21" s="9">
        <v>2</v>
      </c>
      <c r="G21" s="9">
        <v>1</v>
      </c>
      <c r="H21" s="9">
        <v>2</v>
      </c>
      <c r="I21" s="9">
        <v>1</v>
      </c>
      <c r="J21" s="9">
        <v>2</v>
      </c>
      <c r="K21" s="9">
        <v>2</v>
      </c>
      <c r="L21" s="10">
        <f t="shared" si="1"/>
        <v>15</v>
      </c>
      <c r="M21" s="9">
        <v>1</v>
      </c>
      <c r="N21" s="9">
        <v>2</v>
      </c>
      <c r="O21" s="9">
        <v>3</v>
      </c>
      <c r="P21" s="9">
        <v>3</v>
      </c>
      <c r="Q21" s="9">
        <v>0</v>
      </c>
      <c r="R21" s="9">
        <v>1</v>
      </c>
      <c r="S21" s="9">
        <v>3</v>
      </c>
      <c r="T21" s="9">
        <v>1</v>
      </c>
      <c r="U21" s="9">
        <v>1</v>
      </c>
      <c r="V21" s="10">
        <f t="shared" si="2"/>
        <v>15</v>
      </c>
      <c r="W21" s="11">
        <f t="shared" si="3"/>
        <v>100</v>
      </c>
      <c r="X21" s="11">
        <f t="shared" si="4"/>
        <v>28</v>
      </c>
      <c r="Y21"/>
      <c r="AB21" s="42"/>
      <c r="AC21" s="42"/>
      <c r="AD21" s="42" t="str">
        <f t="shared" si="0"/>
        <v/>
      </c>
    </row>
    <row r="22" spans="1:30" x14ac:dyDescent="0.25">
      <c r="A22" s="12">
        <v>41056</v>
      </c>
      <c r="B22" s="13" t="s">
        <v>34</v>
      </c>
      <c r="C22" s="9">
        <v>1</v>
      </c>
      <c r="D22" s="9">
        <v>2</v>
      </c>
      <c r="E22" s="9">
        <v>1</v>
      </c>
      <c r="F22" s="9">
        <v>0</v>
      </c>
      <c r="G22" s="9">
        <v>3</v>
      </c>
      <c r="H22" s="9">
        <v>1</v>
      </c>
      <c r="I22" s="9">
        <v>2</v>
      </c>
      <c r="J22" s="9">
        <v>1</v>
      </c>
      <c r="K22" s="9">
        <v>2</v>
      </c>
      <c r="L22" s="10">
        <f t="shared" si="1"/>
        <v>13</v>
      </c>
      <c r="M22" s="9">
        <v>0</v>
      </c>
      <c r="N22" s="9">
        <v>2</v>
      </c>
      <c r="O22" s="9">
        <v>1</v>
      </c>
      <c r="P22" s="9">
        <v>1</v>
      </c>
      <c r="Q22" s="9">
        <v>1</v>
      </c>
      <c r="R22" s="9">
        <v>1</v>
      </c>
      <c r="S22" s="9">
        <v>0</v>
      </c>
      <c r="T22" s="9">
        <v>2</v>
      </c>
      <c r="U22" s="9">
        <v>1</v>
      </c>
      <c r="V22" s="10">
        <f t="shared" si="2"/>
        <v>9</v>
      </c>
      <c r="W22" s="11">
        <f t="shared" si="3"/>
        <v>92</v>
      </c>
      <c r="X22" s="11">
        <f t="shared" si="4"/>
        <v>20</v>
      </c>
      <c r="Y22"/>
      <c r="AB22" s="42"/>
      <c r="AC22" s="42"/>
      <c r="AD22" s="42" t="str">
        <f t="shared" si="0"/>
        <v/>
      </c>
    </row>
    <row r="23" spans="1:30" x14ac:dyDescent="0.25">
      <c r="A23" s="12">
        <v>41062</v>
      </c>
      <c r="B23" s="13" t="s">
        <v>19</v>
      </c>
      <c r="C23" s="9">
        <v>2</v>
      </c>
      <c r="D23" s="9">
        <v>0</v>
      </c>
      <c r="E23" s="9">
        <v>1</v>
      </c>
      <c r="F23" s="9">
        <v>2</v>
      </c>
      <c r="G23" s="9">
        <v>1</v>
      </c>
      <c r="H23" s="9">
        <v>3</v>
      </c>
      <c r="I23" s="9">
        <v>2</v>
      </c>
      <c r="J23" s="9">
        <v>2</v>
      </c>
      <c r="K23" s="9">
        <v>2</v>
      </c>
      <c r="L23" s="10">
        <f t="shared" si="1"/>
        <v>15</v>
      </c>
      <c r="M23" s="9">
        <v>1</v>
      </c>
      <c r="N23" s="9">
        <v>1</v>
      </c>
      <c r="O23" s="9">
        <v>1</v>
      </c>
      <c r="P23" s="9">
        <v>0</v>
      </c>
      <c r="Q23" s="9">
        <v>1</v>
      </c>
      <c r="R23" s="9">
        <v>1</v>
      </c>
      <c r="S23" s="9">
        <v>0</v>
      </c>
      <c r="T23" s="9">
        <v>2</v>
      </c>
      <c r="U23" s="9">
        <v>2</v>
      </c>
      <c r="V23" s="10">
        <f t="shared" si="2"/>
        <v>9</v>
      </c>
      <c r="W23" s="11">
        <f t="shared" si="3"/>
        <v>96</v>
      </c>
      <c r="X23" s="11">
        <f t="shared" si="4"/>
        <v>24</v>
      </c>
      <c r="Y23"/>
      <c r="AB23" s="42"/>
      <c r="AC23" s="42"/>
      <c r="AD23" s="42" t="str">
        <f t="shared" si="0"/>
        <v/>
      </c>
    </row>
    <row r="24" spans="1:30" x14ac:dyDescent="0.25">
      <c r="A24" s="12">
        <v>41076</v>
      </c>
      <c r="B24" s="13" t="s">
        <v>19</v>
      </c>
      <c r="C24" s="9">
        <v>1</v>
      </c>
      <c r="D24" s="9">
        <v>2</v>
      </c>
      <c r="E24" s="9">
        <v>2</v>
      </c>
      <c r="F24" s="9">
        <v>2</v>
      </c>
      <c r="G24" s="9">
        <v>1</v>
      </c>
      <c r="H24" s="9">
        <v>1</v>
      </c>
      <c r="I24" s="9">
        <v>1</v>
      </c>
      <c r="J24" s="9">
        <v>0</v>
      </c>
      <c r="K24" s="9">
        <v>3</v>
      </c>
      <c r="L24" s="10">
        <f t="shared" si="1"/>
        <v>13</v>
      </c>
      <c r="M24" s="9">
        <v>1</v>
      </c>
      <c r="N24" s="9">
        <v>2</v>
      </c>
      <c r="O24" s="9">
        <v>2</v>
      </c>
      <c r="P24" s="9">
        <v>2</v>
      </c>
      <c r="Q24" s="9">
        <v>1</v>
      </c>
      <c r="R24" s="9">
        <v>3</v>
      </c>
      <c r="S24" s="9">
        <v>1</v>
      </c>
      <c r="T24" s="9">
        <v>2</v>
      </c>
      <c r="U24" s="9">
        <v>1</v>
      </c>
      <c r="V24" s="10">
        <f t="shared" si="2"/>
        <v>15</v>
      </c>
      <c r="W24" s="11">
        <f t="shared" si="3"/>
        <v>100</v>
      </c>
      <c r="X24" s="11">
        <f t="shared" si="4"/>
        <v>28</v>
      </c>
      <c r="Y24"/>
      <c r="AB24" s="42"/>
      <c r="AC24" s="42"/>
      <c r="AD24" s="42" t="str">
        <f t="shared" si="0"/>
        <v/>
      </c>
    </row>
    <row r="25" spans="1:30" x14ac:dyDescent="0.25">
      <c r="A25" s="12">
        <v>41083</v>
      </c>
      <c r="B25" s="13" t="s">
        <v>19</v>
      </c>
      <c r="C25" s="9">
        <v>2</v>
      </c>
      <c r="D25" s="9">
        <v>2</v>
      </c>
      <c r="E25" s="9">
        <v>0</v>
      </c>
      <c r="F25" s="9">
        <v>3</v>
      </c>
      <c r="G25" s="9">
        <v>3</v>
      </c>
      <c r="H25" s="9">
        <v>3</v>
      </c>
      <c r="I25" s="9">
        <v>1</v>
      </c>
      <c r="J25" s="9">
        <v>2</v>
      </c>
      <c r="K25" s="9">
        <v>1</v>
      </c>
      <c r="L25" s="10">
        <f t="shared" si="1"/>
        <v>17</v>
      </c>
      <c r="M25" s="9">
        <v>1</v>
      </c>
      <c r="N25" s="9">
        <v>2</v>
      </c>
      <c r="O25" s="9">
        <v>4</v>
      </c>
      <c r="P25" s="9">
        <v>1</v>
      </c>
      <c r="Q25" s="9">
        <v>2</v>
      </c>
      <c r="R25" s="9">
        <v>1</v>
      </c>
      <c r="S25" s="9">
        <v>2</v>
      </c>
      <c r="T25" s="9">
        <v>0</v>
      </c>
      <c r="U25" s="9">
        <v>1</v>
      </c>
      <c r="V25" s="10">
        <f t="shared" si="2"/>
        <v>14</v>
      </c>
      <c r="W25" s="11">
        <f t="shared" si="3"/>
        <v>103</v>
      </c>
      <c r="X25" s="11">
        <f t="shared" si="4"/>
        <v>31</v>
      </c>
      <c r="Y25"/>
      <c r="AB25" s="42"/>
      <c r="AC25" s="42"/>
      <c r="AD25" s="42" t="str">
        <f t="shared" si="0"/>
        <v/>
      </c>
    </row>
    <row r="26" spans="1:30" x14ac:dyDescent="0.25">
      <c r="A26" s="12">
        <v>41167</v>
      </c>
      <c r="B26" s="13" t="s">
        <v>19</v>
      </c>
      <c r="C26" s="9">
        <v>3</v>
      </c>
      <c r="D26" s="9">
        <v>1</v>
      </c>
      <c r="E26" s="9">
        <v>0</v>
      </c>
      <c r="F26" s="9">
        <v>1</v>
      </c>
      <c r="G26" s="9">
        <v>4</v>
      </c>
      <c r="H26" s="9">
        <v>2</v>
      </c>
      <c r="I26" s="9">
        <v>0</v>
      </c>
      <c r="J26" s="9">
        <v>2</v>
      </c>
      <c r="K26" s="9">
        <v>3</v>
      </c>
      <c r="L26" s="10">
        <f t="shared" si="1"/>
        <v>16</v>
      </c>
      <c r="M26" s="9">
        <v>3</v>
      </c>
      <c r="N26" s="9">
        <v>0</v>
      </c>
      <c r="O26" s="9">
        <v>2</v>
      </c>
      <c r="P26" s="9">
        <v>1</v>
      </c>
      <c r="Q26" s="9">
        <v>0</v>
      </c>
      <c r="R26" s="9">
        <v>1</v>
      </c>
      <c r="S26" s="9">
        <v>2</v>
      </c>
      <c r="T26" s="9">
        <v>2</v>
      </c>
      <c r="U26" s="9">
        <v>2</v>
      </c>
      <c r="V26" s="10">
        <f t="shared" si="2"/>
        <v>13</v>
      </c>
      <c r="W26" s="11">
        <f t="shared" si="3"/>
        <v>101</v>
      </c>
      <c r="X26" s="11">
        <f t="shared" si="4"/>
        <v>29</v>
      </c>
      <c r="Y26"/>
      <c r="AB26" s="42"/>
      <c r="AC26" s="42"/>
      <c r="AD26" s="42" t="str">
        <f t="shared" si="0"/>
        <v/>
      </c>
    </row>
    <row r="27" spans="1:30" x14ac:dyDescent="0.25">
      <c r="A27" s="12">
        <v>41202</v>
      </c>
      <c r="B27" s="13" t="s">
        <v>19</v>
      </c>
      <c r="C27" s="9">
        <v>1</v>
      </c>
      <c r="D27" s="9">
        <v>-1</v>
      </c>
      <c r="E27" s="9">
        <v>1</v>
      </c>
      <c r="F27" s="9">
        <v>1</v>
      </c>
      <c r="G27" s="9">
        <v>1</v>
      </c>
      <c r="H27" s="9">
        <v>1</v>
      </c>
      <c r="I27" s="9">
        <v>1</v>
      </c>
      <c r="J27" s="9">
        <v>3</v>
      </c>
      <c r="K27" s="9">
        <v>2</v>
      </c>
      <c r="L27" s="10">
        <f t="shared" si="1"/>
        <v>10</v>
      </c>
      <c r="M27" s="9">
        <v>2</v>
      </c>
      <c r="N27" s="9">
        <v>4</v>
      </c>
      <c r="O27" s="9">
        <v>3</v>
      </c>
      <c r="P27" s="9">
        <v>2</v>
      </c>
      <c r="Q27" s="9">
        <v>2</v>
      </c>
      <c r="R27" s="9">
        <v>0</v>
      </c>
      <c r="S27" s="9">
        <v>0</v>
      </c>
      <c r="T27" s="9">
        <v>2</v>
      </c>
      <c r="U27" s="9">
        <v>2</v>
      </c>
      <c r="V27" s="10">
        <f t="shared" si="2"/>
        <v>17</v>
      </c>
      <c r="W27" s="11">
        <f t="shared" si="3"/>
        <v>99</v>
      </c>
      <c r="X27" s="11">
        <f t="shared" si="4"/>
        <v>27</v>
      </c>
      <c r="Y27"/>
      <c r="AB27" s="42"/>
      <c r="AC27" s="42"/>
      <c r="AD27" s="42" t="str">
        <f t="shared" si="0"/>
        <v/>
      </c>
    </row>
    <row r="28" spans="1:30" x14ac:dyDescent="0.25">
      <c r="A28" s="12">
        <v>41217</v>
      </c>
      <c r="B28" s="13" t="s">
        <v>19</v>
      </c>
      <c r="C28" s="9">
        <v>2</v>
      </c>
      <c r="D28" s="9">
        <v>0</v>
      </c>
      <c r="E28" s="9">
        <v>2</v>
      </c>
      <c r="F28" s="9">
        <v>2</v>
      </c>
      <c r="G28" s="9">
        <v>3</v>
      </c>
      <c r="H28" s="9">
        <v>0</v>
      </c>
      <c r="I28" s="9">
        <v>2</v>
      </c>
      <c r="J28" s="9">
        <v>1</v>
      </c>
      <c r="K28" s="9">
        <v>1</v>
      </c>
      <c r="L28" s="10">
        <f t="shared" si="1"/>
        <v>13</v>
      </c>
      <c r="M28" s="9">
        <v>3</v>
      </c>
      <c r="N28" s="9">
        <v>2</v>
      </c>
      <c r="O28" s="9">
        <v>2</v>
      </c>
      <c r="P28" s="9">
        <v>1</v>
      </c>
      <c r="Q28" s="9">
        <v>3</v>
      </c>
      <c r="R28" s="9">
        <v>0</v>
      </c>
      <c r="S28" s="9">
        <v>2</v>
      </c>
      <c r="T28" s="9">
        <v>1</v>
      </c>
      <c r="U28" s="9">
        <v>2</v>
      </c>
      <c r="V28" s="10">
        <f t="shared" si="2"/>
        <v>16</v>
      </c>
      <c r="W28" s="11">
        <f t="shared" si="3"/>
        <v>101</v>
      </c>
      <c r="X28" s="11">
        <f t="shared" si="4"/>
        <v>29</v>
      </c>
      <c r="Y28"/>
      <c r="AB28" s="42"/>
      <c r="AC28" s="42"/>
      <c r="AD28" s="42" t="str">
        <f t="shared" si="0"/>
        <v/>
      </c>
    </row>
    <row r="29" spans="1:30" x14ac:dyDescent="0.25">
      <c r="A29" s="12"/>
      <c r="B29" s="13"/>
      <c r="C29" s="9"/>
      <c r="D29" s="9"/>
      <c r="E29" s="9"/>
      <c r="F29" s="9"/>
      <c r="G29" s="9"/>
      <c r="H29" s="9"/>
      <c r="I29" s="9"/>
      <c r="J29" s="9"/>
      <c r="K29" s="9"/>
      <c r="L29" s="10" t="str">
        <f t="shared" si="1"/>
        <v/>
      </c>
      <c r="M29" s="9"/>
      <c r="N29" s="9"/>
      <c r="O29" s="9"/>
      <c r="P29" s="9"/>
      <c r="Q29" s="9"/>
      <c r="R29" s="9"/>
      <c r="S29" s="9"/>
      <c r="T29" s="9"/>
      <c r="U29" s="9"/>
      <c r="V29" s="10" t="str">
        <f t="shared" si="2"/>
        <v/>
      </c>
      <c r="W29" s="11" t="str">
        <f t="shared" si="3"/>
        <v/>
      </c>
      <c r="X29" s="11" t="str">
        <f t="shared" si="4"/>
        <v/>
      </c>
      <c r="Y29"/>
      <c r="AB29" s="42"/>
      <c r="AC29" s="42"/>
      <c r="AD29" s="42" t="str">
        <f t="shared" si="0"/>
        <v/>
      </c>
    </row>
    <row r="30" spans="1:30" x14ac:dyDescent="0.25">
      <c r="A30" s="12"/>
      <c r="B30" s="13"/>
      <c r="C30" s="9"/>
      <c r="D30" s="9"/>
      <c r="E30" s="9"/>
      <c r="F30" s="9"/>
      <c r="G30" s="9"/>
      <c r="H30" s="9"/>
      <c r="I30" s="9"/>
      <c r="J30" s="9"/>
      <c r="K30" s="9"/>
      <c r="L30" s="10" t="str">
        <f t="shared" si="1"/>
        <v/>
      </c>
      <c r="M30" s="9"/>
      <c r="N30" s="9"/>
      <c r="O30" s="9"/>
      <c r="P30" s="9"/>
      <c r="Q30" s="9"/>
      <c r="R30" s="9"/>
      <c r="S30" s="9"/>
      <c r="T30" s="9"/>
      <c r="U30" s="9"/>
      <c r="V30" s="10" t="str">
        <f t="shared" si="2"/>
        <v/>
      </c>
      <c r="W30" s="11" t="str">
        <f t="shared" si="3"/>
        <v/>
      </c>
      <c r="X30" s="11" t="str">
        <f t="shared" si="4"/>
        <v/>
      </c>
      <c r="Y30"/>
      <c r="AB30" s="42"/>
      <c r="AC30" s="42"/>
      <c r="AD30" s="42" t="str">
        <f t="shared" si="0"/>
        <v/>
      </c>
    </row>
    <row r="31" spans="1:30" x14ac:dyDescent="0.25">
      <c r="A31" s="12"/>
      <c r="B31" s="13"/>
      <c r="C31" s="9"/>
      <c r="D31" s="9"/>
      <c r="E31" s="9"/>
      <c r="F31" s="9"/>
      <c r="G31" s="9"/>
      <c r="H31" s="9"/>
      <c r="I31" s="9"/>
      <c r="J31" s="9"/>
      <c r="K31" s="9"/>
      <c r="L31" s="10" t="str">
        <f t="shared" si="1"/>
        <v/>
      </c>
      <c r="M31" s="9"/>
      <c r="N31" s="9"/>
      <c r="O31" s="9"/>
      <c r="P31" s="9"/>
      <c r="Q31" s="9"/>
      <c r="R31" s="9"/>
      <c r="S31" s="9"/>
      <c r="T31" s="9"/>
      <c r="U31" s="9"/>
      <c r="V31" s="10" t="str">
        <f t="shared" si="2"/>
        <v/>
      </c>
      <c r="W31" s="11" t="str">
        <f t="shared" si="3"/>
        <v/>
      </c>
      <c r="X31" s="11" t="str">
        <f t="shared" si="4"/>
        <v/>
      </c>
      <c r="Y31"/>
      <c r="AB31" s="42"/>
      <c r="AC31" s="42"/>
      <c r="AD31" s="42" t="str">
        <f t="shared" si="0"/>
        <v/>
      </c>
    </row>
    <row r="32" spans="1:30" x14ac:dyDescent="0.25">
      <c r="A32" s="12"/>
      <c r="B32" s="13"/>
      <c r="C32" s="9"/>
      <c r="D32" s="9"/>
      <c r="E32" s="9"/>
      <c r="F32" s="9"/>
      <c r="G32" s="9"/>
      <c r="H32" s="9"/>
      <c r="I32" s="9"/>
      <c r="J32" s="9"/>
      <c r="K32" s="9"/>
      <c r="L32" s="10" t="str">
        <f t="shared" si="1"/>
        <v/>
      </c>
      <c r="M32" s="9"/>
      <c r="N32" s="9"/>
      <c r="O32" s="9"/>
      <c r="P32" s="9"/>
      <c r="Q32" s="9"/>
      <c r="R32" s="9"/>
      <c r="S32" s="9"/>
      <c r="T32" s="9"/>
      <c r="U32" s="9"/>
      <c r="V32" s="10" t="str">
        <f t="shared" si="2"/>
        <v/>
      </c>
      <c r="W32" s="11" t="str">
        <f t="shared" si="3"/>
        <v/>
      </c>
      <c r="X32" s="11" t="str">
        <f t="shared" si="4"/>
        <v/>
      </c>
      <c r="Y32"/>
      <c r="AB32" s="42"/>
      <c r="AC32" s="42"/>
      <c r="AD32" s="42" t="str">
        <f t="shared" si="0"/>
        <v/>
      </c>
    </row>
    <row r="33" spans="1:30" x14ac:dyDescent="0.25">
      <c r="A33" s="12"/>
      <c r="B33" s="13"/>
      <c r="C33" s="9"/>
      <c r="D33" s="9"/>
      <c r="E33" s="9"/>
      <c r="F33" s="9"/>
      <c r="G33" s="9"/>
      <c r="H33" s="9"/>
      <c r="I33" s="9"/>
      <c r="J33" s="9"/>
      <c r="K33" s="9"/>
      <c r="L33" s="10" t="str">
        <f t="shared" si="1"/>
        <v/>
      </c>
      <c r="M33" s="9"/>
      <c r="N33" s="9"/>
      <c r="O33" s="9"/>
      <c r="P33" s="9"/>
      <c r="Q33" s="9"/>
      <c r="R33" s="9"/>
      <c r="S33" s="9"/>
      <c r="T33" s="9"/>
      <c r="U33" s="9"/>
      <c r="V33" s="10" t="str">
        <f t="shared" si="2"/>
        <v/>
      </c>
      <c r="W33" s="11" t="str">
        <f t="shared" si="3"/>
        <v/>
      </c>
      <c r="X33" s="11" t="str">
        <f t="shared" si="4"/>
        <v/>
      </c>
      <c r="Y33"/>
      <c r="AB33" s="42"/>
      <c r="AC33" s="42"/>
      <c r="AD33" s="42" t="str">
        <f t="shared" si="0"/>
        <v/>
      </c>
    </row>
    <row r="34" spans="1:30" x14ac:dyDescent="0.25">
      <c r="A34" s="12"/>
      <c r="B34" s="13"/>
      <c r="C34" s="9"/>
      <c r="D34" s="9"/>
      <c r="E34" s="9"/>
      <c r="F34" s="9"/>
      <c r="G34" s="9"/>
      <c r="H34" s="9"/>
      <c r="I34" s="9"/>
      <c r="J34" s="9"/>
      <c r="K34" s="9"/>
      <c r="L34" s="10" t="str">
        <f t="shared" si="1"/>
        <v/>
      </c>
      <c r="M34" s="9"/>
      <c r="N34" s="9"/>
      <c r="O34" s="9"/>
      <c r="P34" s="9"/>
      <c r="Q34" s="9"/>
      <c r="R34" s="9"/>
      <c r="S34" s="9"/>
      <c r="T34" s="9"/>
      <c r="U34" s="9"/>
      <c r="V34" s="10" t="str">
        <f t="shared" si="2"/>
        <v/>
      </c>
      <c r="W34" s="11" t="str">
        <f t="shared" si="3"/>
        <v/>
      </c>
      <c r="X34" s="11" t="str">
        <f t="shared" si="4"/>
        <v/>
      </c>
      <c r="Y34"/>
      <c r="AB34" s="42"/>
      <c r="AC34" s="42"/>
      <c r="AD34" s="42" t="str">
        <f t="shared" si="0"/>
        <v/>
      </c>
    </row>
    <row r="35" spans="1:30" x14ac:dyDescent="0.25">
      <c r="A35" s="12"/>
      <c r="B35" s="13"/>
      <c r="C35" s="9"/>
      <c r="D35" s="9"/>
      <c r="E35" s="9"/>
      <c r="F35" s="9"/>
      <c r="G35" s="9"/>
      <c r="H35" s="9"/>
      <c r="I35" s="9"/>
      <c r="J35" s="9"/>
      <c r="K35" s="9"/>
      <c r="L35" s="10" t="str">
        <f t="shared" si="1"/>
        <v/>
      </c>
      <c r="M35" s="9"/>
      <c r="N35" s="9"/>
      <c r="O35" s="9"/>
      <c r="P35" s="9"/>
      <c r="Q35" s="9"/>
      <c r="R35" s="9"/>
      <c r="S35" s="9"/>
      <c r="T35" s="9"/>
      <c r="U35" s="9"/>
      <c r="V35" s="10" t="str">
        <f t="shared" si="2"/>
        <v/>
      </c>
      <c r="W35" s="11" t="str">
        <f t="shared" si="3"/>
        <v/>
      </c>
      <c r="X35" s="11" t="str">
        <f t="shared" si="4"/>
        <v/>
      </c>
      <c r="Y35"/>
      <c r="AB35" s="42"/>
      <c r="AC35" s="42"/>
      <c r="AD35" s="42" t="str">
        <f t="shared" si="0"/>
        <v/>
      </c>
    </row>
    <row r="36" spans="1:30" x14ac:dyDescent="0.25">
      <c r="A36" s="12"/>
      <c r="B36" s="13"/>
      <c r="C36" s="9"/>
      <c r="D36" s="9"/>
      <c r="E36" s="9"/>
      <c r="F36" s="9"/>
      <c r="G36" s="9"/>
      <c r="H36" s="9"/>
      <c r="I36" s="9"/>
      <c r="J36" s="9"/>
      <c r="K36" s="9"/>
      <c r="L36" s="10" t="str">
        <f t="shared" si="1"/>
        <v/>
      </c>
      <c r="M36" s="9"/>
      <c r="N36" s="9"/>
      <c r="O36" s="9"/>
      <c r="P36" s="9"/>
      <c r="Q36" s="9"/>
      <c r="R36" s="9"/>
      <c r="S36" s="9"/>
      <c r="T36" s="9"/>
      <c r="U36" s="9"/>
      <c r="V36" s="10" t="str">
        <f t="shared" si="2"/>
        <v/>
      </c>
      <c r="W36" s="11" t="str">
        <f t="shared" si="3"/>
        <v/>
      </c>
      <c r="X36" s="11" t="str">
        <f t="shared" si="4"/>
        <v/>
      </c>
      <c r="Y36"/>
      <c r="AB36" s="42"/>
      <c r="AC36" s="42"/>
      <c r="AD36" s="42" t="str">
        <f t="shared" si="0"/>
        <v/>
      </c>
    </row>
    <row r="37" spans="1:30" x14ac:dyDescent="0.25">
      <c r="A37" s="12"/>
      <c r="B37" s="13"/>
      <c r="C37" s="9"/>
      <c r="D37" s="9"/>
      <c r="E37" s="9"/>
      <c r="F37" s="9"/>
      <c r="G37" s="9"/>
      <c r="H37" s="9"/>
      <c r="I37" s="9"/>
      <c r="J37" s="9"/>
      <c r="K37" s="9"/>
      <c r="L37" s="10" t="str">
        <f t="shared" si="1"/>
        <v/>
      </c>
      <c r="M37" s="9"/>
      <c r="N37" s="9"/>
      <c r="O37" s="9"/>
      <c r="P37" s="9"/>
      <c r="Q37" s="9"/>
      <c r="R37" s="9"/>
      <c r="S37" s="9"/>
      <c r="T37" s="9"/>
      <c r="U37" s="9"/>
      <c r="V37" s="10" t="str">
        <f t="shared" si="2"/>
        <v/>
      </c>
      <c r="W37" s="11" t="str">
        <f t="shared" si="3"/>
        <v/>
      </c>
      <c r="X37" s="11" t="str">
        <f t="shared" si="4"/>
        <v/>
      </c>
      <c r="Y37"/>
      <c r="AB37" s="42"/>
      <c r="AC37" s="42"/>
      <c r="AD37" s="42" t="str">
        <f t="shared" si="0"/>
        <v/>
      </c>
    </row>
    <row r="38" spans="1:30" x14ac:dyDescent="0.25">
      <c r="A38" s="12"/>
      <c r="B38" s="13"/>
      <c r="C38" s="9"/>
      <c r="D38" s="9"/>
      <c r="E38" s="9"/>
      <c r="F38" s="9"/>
      <c r="G38" s="9"/>
      <c r="H38" s="9"/>
      <c r="I38" s="9"/>
      <c r="J38" s="9"/>
      <c r="K38" s="9"/>
      <c r="L38" s="10" t="str">
        <f t="shared" si="1"/>
        <v/>
      </c>
      <c r="M38" s="9"/>
      <c r="N38" s="9"/>
      <c r="O38" s="9"/>
      <c r="P38" s="9"/>
      <c r="Q38" s="9"/>
      <c r="R38" s="9"/>
      <c r="S38" s="9"/>
      <c r="T38" s="9"/>
      <c r="U38" s="9"/>
      <c r="V38" s="10" t="str">
        <f t="shared" si="2"/>
        <v/>
      </c>
      <c r="W38" s="11" t="str">
        <f t="shared" si="3"/>
        <v/>
      </c>
      <c r="X38" s="11" t="str">
        <f t="shared" si="4"/>
        <v/>
      </c>
      <c r="Y38"/>
      <c r="AB38" s="42"/>
      <c r="AC38" s="42"/>
      <c r="AD38" s="42" t="str">
        <f t="shared" si="0"/>
        <v/>
      </c>
    </row>
    <row r="39" spans="1:30" x14ac:dyDescent="0.25">
      <c r="A39" s="12"/>
      <c r="B39" s="13"/>
      <c r="C39" s="9"/>
      <c r="D39" s="9"/>
      <c r="E39" s="9"/>
      <c r="F39" s="9"/>
      <c r="G39" s="9"/>
      <c r="H39" s="9"/>
      <c r="I39" s="9"/>
      <c r="J39" s="9"/>
      <c r="K39" s="9"/>
      <c r="L39" s="10" t="str">
        <f t="shared" si="1"/>
        <v/>
      </c>
      <c r="M39" s="9"/>
      <c r="N39" s="9"/>
      <c r="O39" s="9"/>
      <c r="P39" s="9"/>
      <c r="Q39" s="9"/>
      <c r="R39" s="9"/>
      <c r="S39" s="9"/>
      <c r="T39" s="9"/>
      <c r="U39" s="9"/>
      <c r="V39" s="10" t="str">
        <f t="shared" si="2"/>
        <v/>
      </c>
      <c r="W39" s="11" t="str">
        <f t="shared" si="3"/>
        <v/>
      </c>
      <c r="X39" s="11" t="str">
        <f t="shared" si="4"/>
        <v/>
      </c>
      <c r="Y39"/>
      <c r="AB39" s="42"/>
      <c r="AC39" s="42"/>
      <c r="AD39" s="42" t="str">
        <f t="shared" si="0"/>
        <v/>
      </c>
    </row>
    <row r="40" spans="1:30" x14ac:dyDescent="0.25">
      <c r="A40" s="12"/>
      <c r="B40" s="13"/>
      <c r="C40" s="9"/>
      <c r="D40" s="9"/>
      <c r="E40" s="9"/>
      <c r="F40" s="9"/>
      <c r="G40" s="9"/>
      <c r="H40" s="9"/>
      <c r="I40" s="9"/>
      <c r="J40" s="9"/>
      <c r="K40" s="9"/>
      <c r="L40" s="10" t="str">
        <f t="shared" si="1"/>
        <v/>
      </c>
      <c r="M40" s="9"/>
      <c r="N40" s="9"/>
      <c r="O40" s="9"/>
      <c r="P40" s="9"/>
      <c r="Q40" s="9"/>
      <c r="R40" s="9"/>
      <c r="S40" s="9"/>
      <c r="T40" s="9"/>
      <c r="U40" s="9"/>
      <c r="V40" s="10" t="str">
        <f t="shared" si="2"/>
        <v/>
      </c>
      <c r="W40" s="11" t="str">
        <f t="shared" si="3"/>
        <v/>
      </c>
      <c r="X40" s="11" t="str">
        <f t="shared" si="4"/>
        <v/>
      </c>
      <c r="Y40"/>
      <c r="AB40" s="42"/>
      <c r="AC40" s="42"/>
      <c r="AD40" s="42" t="str">
        <f t="shared" si="0"/>
        <v/>
      </c>
    </row>
    <row r="41" spans="1:30" x14ac:dyDescent="0.25">
      <c r="A41" s="12"/>
      <c r="B41" s="13"/>
      <c r="C41" s="9"/>
      <c r="D41" s="9"/>
      <c r="E41" s="9"/>
      <c r="F41" s="9"/>
      <c r="G41" s="9"/>
      <c r="H41" s="9"/>
      <c r="I41" s="9"/>
      <c r="J41" s="9"/>
      <c r="K41" s="9"/>
      <c r="L41" s="10" t="str">
        <f t="shared" si="1"/>
        <v/>
      </c>
      <c r="M41" s="9"/>
      <c r="N41" s="9"/>
      <c r="O41" s="9"/>
      <c r="P41" s="9"/>
      <c r="Q41" s="9"/>
      <c r="R41" s="9"/>
      <c r="S41" s="9"/>
      <c r="T41" s="9"/>
      <c r="U41" s="9"/>
      <c r="V41" s="10" t="str">
        <f t="shared" si="2"/>
        <v/>
      </c>
      <c r="W41" s="11" t="str">
        <f t="shared" si="3"/>
        <v/>
      </c>
      <c r="X41" s="11" t="str">
        <f t="shared" si="4"/>
        <v/>
      </c>
      <c r="Y41"/>
      <c r="AB41" s="42"/>
      <c r="AC41" s="42"/>
      <c r="AD41" s="42" t="str">
        <f t="shared" si="0"/>
        <v/>
      </c>
    </row>
    <row r="42" spans="1:30" x14ac:dyDescent="0.25">
      <c r="A42" s="12"/>
      <c r="B42" s="13"/>
      <c r="C42" s="9"/>
      <c r="D42" s="9"/>
      <c r="E42" s="9"/>
      <c r="F42" s="9"/>
      <c r="G42" s="9"/>
      <c r="H42" s="9"/>
      <c r="I42" s="9"/>
      <c r="J42" s="9"/>
      <c r="K42" s="9"/>
      <c r="L42" s="10" t="str">
        <f t="shared" si="1"/>
        <v/>
      </c>
      <c r="M42" s="9"/>
      <c r="N42" s="9"/>
      <c r="O42" s="9"/>
      <c r="P42" s="9"/>
      <c r="Q42" s="9"/>
      <c r="R42" s="9"/>
      <c r="S42" s="9"/>
      <c r="T42" s="9"/>
      <c r="U42" s="9"/>
      <c r="V42" s="10" t="str">
        <f t="shared" si="2"/>
        <v/>
      </c>
      <c r="W42" s="11" t="str">
        <f t="shared" si="3"/>
        <v/>
      </c>
      <c r="X42" s="11" t="str">
        <f t="shared" si="4"/>
        <v/>
      </c>
      <c r="Y42"/>
      <c r="AB42" s="42"/>
      <c r="AC42" s="42"/>
      <c r="AD42" s="42" t="str">
        <f t="shared" si="0"/>
        <v/>
      </c>
    </row>
    <row r="43" spans="1:30" x14ac:dyDescent="0.25">
      <c r="A43" s="12"/>
      <c r="B43" s="13"/>
      <c r="C43" s="9"/>
      <c r="D43" s="9"/>
      <c r="E43" s="9"/>
      <c r="F43" s="9"/>
      <c r="G43" s="9"/>
      <c r="H43" s="9"/>
      <c r="I43" s="9"/>
      <c r="J43" s="9"/>
      <c r="K43" s="9"/>
      <c r="L43" s="10" t="str">
        <f t="shared" si="1"/>
        <v/>
      </c>
      <c r="M43" s="9"/>
      <c r="N43" s="9"/>
      <c r="O43" s="9"/>
      <c r="P43" s="9"/>
      <c r="Q43" s="9"/>
      <c r="R43" s="9"/>
      <c r="S43" s="9"/>
      <c r="T43" s="9"/>
      <c r="U43" s="9"/>
      <c r="V43" s="10" t="str">
        <f t="shared" si="2"/>
        <v/>
      </c>
      <c r="W43" s="11" t="str">
        <f t="shared" si="3"/>
        <v/>
      </c>
      <c r="X43" s="11" t="str">
        <f t="shared" si="4"/>
        <v/>
      </c>
      <c r="Y43"/>
      <c r="AB43" s="42"/>
      <c r="AC43" s="42"/>
      <c r="AD43" s="42" t="str">
        <f t="shared" si="0"/>
        <v/>
      </c>
    </row>
    <row r="44" spans="1:30" x14ac:dyDescent="0.25">
      <c r="A44" s="12"/>
      <c r="B44" s="13"/>
      <c r="C44" s="9"/>
      <c r="D44" s="9"/>
      <c r="E44" s="9"/>
      <c r="F44" s="9"/>
      <c r="G44" s="9"/>
      <c r="H44" s="9"/>
      <c r="I44" s="9"/>
      <c r="J44" s="9"/>
      <c r="K44" s="9"/>
      <c r="L44" s="10" t="str">
        <f t="shared" si="1"/>
        <v/>
      </c>
      <c r="M44" s="9"/>
      <c r="N44" s="9"/>
      <c r="O44" s="9"/>
      <c r="P44" s="9"/>
      <c r="Q44" s="9"/>
      <c r="R44" s="9"/>
      <c r="S44" s="9"/>
      <c r="T44" s="9"/>
      <c r="U44" s="9"/>
      <c r="V44" s="10" t="str">
        <f t="shared" si="2"/>
        <v/>
      </c>
      <c r="W44" s="11" t="str">
        <f t="shared" si="3"/>
        <v/>
      </c>
      <c r="X44" s="11" t="str">
        <f t="shared" si="4"/>
        <v/>
      </c>
      <c r="Y44"/>
      <c r="AB44" s="42"/>
      <c r="AC44" s="42"/>
      <c r="AD44" s="42" t="str">
        <f t="shared" si="0"/>
        <v/>
      </c>
    </row>
    <row r="45" spans="1:30" x14ac:dyDescent="0.25">
      <c r="A45" s="12"/>
      <c r="B45" s="13"/>
      <c r="C45" s="9"/>
      <c r="D45" s="9"/>
      <c r="E45" s="9"/>
      <c r="F45" s="9"/>
      <c r="G45" s="9"/>
      <c r="H45" s="9"/>
      <c r="I45" s="9"/>
      <c r="J45" s="9"/>
      <c r="K45" s="9"/>
      <c r="L45" s="10" t="str">
        <f t="shared" si="1"/>
        <v/>
      </c>
      <c r="M45" s="9"/>
      <c r="N45" s="9"/>
      <c r="O45" s="9"/>
      <c r="P45" s="9"/>
      <c r="Q45" s="9"/>
      <c r="R45" s="9"/>
      <c r="S45" s="9"/>
      <c r="T45" s="9"/>
      <c r="U45" s="9"/>
      <c r="V45" s="10" t="str">
        <f t="shared" si="2"/>
        <v/>
      </c>
      <c r="W45" s="11" t="str">
        <f t="shared" si="3"/>
        <v/>
      </c>
      <c r="X45" s="11" t="str">
        <f t="shared" si="4"/>
        <v/>
      </c>
      <c r="Y45"/>
      <c r="AB45" s="42"/>
      <c r="AC45" s="42"/>
      <c r="AD45" s="42" t="str">
        <f t="shared" si="0"/>
        <v/>
      </c>
    </row>
    <row r="46" spans="1:30" x14ac:dyDescent="0.25">
      <c r="A46" s="12"/>
      <c r="B46" s="13"/>
      <c r="C46" s="9"/>
      <c r="D46" s="9"/>
      <c r="E46" s="9"/>
      <c r="F46" s="9"/>
      <c r="G46" s="9"/>
      <c r="H46" s="9"/>
      <c r="I46" s="9"/>
      <c r="J46" s="9"/>
      <c r="K46" s="9"/>
      <c r="L46" s="10" t="str">
        <f t="shared" si="1"/>
        <v/>
      </c>
      <c r="M46" s="9"/>
      <c r="N46" s="9"/>
      <c r="O46" s="9"/>
      <c r="P46" s="9"/>
      <c r="Q46" s="9"/>
      <c r="R46" s="9"/>
      <c r="S46" s="9"/>
      <c r="T46" s="9"/>
      <c r="U46" s="9"/>
      <c r="V46" s="10" t="str">
        <f t="shared" si="2"/>
        <v/>
      </c>
      <c r="W46" s="11" t="str">
        <f t="shared" si="3"/>
        <v/>
      </c>
      <c r="X46" s="11" t="str">
        <f t="shared" si="4"/>
        <v/>
      </c>
      <c r="Y46"/>
      <c r="AB46" s="42"/>
      <c r="AC46" s="42"/>
      <c r="AD46" s="42" t="str">
        <f t="shared" si="0"/>
        <v/>
      </c>
    </row>
    <row r="47" spans="1:30" x14ac:dyDescent="0.25">
      <c r="A47" s="12"/>
      <c r="B47" s="13"/>
      <c r="C47" s="9"/>
      <c r="D47" s="9"/>
      <c r="E47" s="9"/>
      <c r="F47" s="9"/>
      <c r="G47" s="9"/>
      <c r="H47" s="9"/>
      <c r="I47" s="9"/>
      <c r="J47" s="9"/>
      <c r="K47" s="9"/>
      <c r="L47" s="10" t="str">
        <f t="shared" si="1"/>
        <v/>
      </c>
      <c r="M47" s="9"/>
      <c r="N47" s="9"/>
      <c r="O47" s="9"/>
      <c r="P47" s="9"/>
      <c r="Q47" s="9"/>
      <c r="R47" s="9"/>
      <c r="S47" s="9"/>
      <c r="T47" s="9"/>
      <c r="U47" s="9"/>
      <c r="V47" s="10" t="str">
        <f t="shared" si="2"/>
        <v/>
      </c>
      <c r="W47" s="11" t="str">
        <f t="shared" si="3"/>
        <v/>
      </c>
      <c r="X47" s="11" t="str">
        <f t="shared" si="4"/>
        <v/>
      </c>
      <c r="Y47"/>
      <c r="AB47" s="42"/>
      <c r="AC47" s="42"/>
      <c r="AD47" s="42" t="str">
        <f t="shared" si="0"/>
        <v/>
      </c>
    </row>
    <row r="48" spans="1:30" x14ac:dyDescent="0.25">
      <c r="A48" s="12"/>
      <c r="B48" s="13"/>
      <c r="C48" s="9"/>
      <c r="D48" s="9"/>
      <c r="E48" s="9"/>
      <c r="F48" s="9"/>
      <c r="G48" s="9"/>
      <c r="H48" s="9"/>
      <c r="I48" s="9"/>
      <c r="J48" s="9"/>
      <c r="K48" s="9"/>
      <c r="L48" s="10" t="str">
        <f t="shared" si="1"/>
        <v/>
      </c>
      <c r="M48" s="9"/>
      <c r="N48" s="9"/>
      <c r="O48" s="9"/>
      <c r="P48" s="9"/>
      <c r="Q48" s="9"/>
      <c r="R48" s="9"/>
      <c r="S48" s="9"/>
      <c r="T48" s="9"/>
      <c r="U48" s="9"/>
      <c r="V48" s="10" t="str">
        <f t="shared" si="2"/>
        <v/>
      </c>
      <c r="W48" s="11" t="str">
        <f t="shared" si="3"/>
        <v/>
      </c>
      <c r="X48" s="11" t="str">
        <f t="shared" si="4"/>
        <v/>
      </c>
      <c r="Y48"/>
      <c r="AB48" s="42"/>
      <c r="AC48" s="42"/>
      <c r="AD48" s="42" t="str">
        <f t="shared" si="0"/>
        <v/>
      </c>
    </row>
    <row r="49" spans="1:30" x14ac:dyDescent="0.25">
      <c r="A49" s="12"/>
      <c r="B49" s="13"/>
      <c r="C49" s="9"/>
      <c r="D49" s="9"/>
      <c r="E49" s="9"/>
      <c r="F49" s="9"/>
      <c r="G49" s="9"/>
      <c r="H49" s="9"/>
      <c r="I49" s="9"/>
      <c r="J49" s="9"/>
      <c r="K49" s="9"/>
      <c r="L49" s="10" t="str">
        <f t="shared" si="1"/>
        <v/>
      </c>
      <c r="M49" s="9"/>
      <c r="N49" s="9"/>
      <c r="O49" s="9"/>
      <c r="P49" s="9"/>
      <c r="Q49" s="9"/>
      <c r="R49" s="9"/>
      <c r="S49" s="9"/>
      <c r="T49" s="9"/>
      <c r="U49" s="9"/>
      <c r="V49" s="10" t="str">
        <f t="shared" si="2"/>
        <v/>
      </c>
      <c r="W49" s="11" t="str">
        <f t="shared" si="3"/>
        <v/>
      </c>
      <c r="X49" s="11" t="str">
        <f t="shared" si="4"/>
        <v/>
      </c>
      <c r="Y49"/>
      <c r="AB49" s="42"/>
      <c r="AC49" s="42"/>
      <c r="AD49" s="42" t="str">
        <f t="shared" si="0"/>
        <v/>
      </c>
    </row>
    <row r="50" spans="1:30" x14ac:dyDescent="0.25">
      <c r="A50" s="12"/>
      <c r="B50" s="13"/>
      <c r="C50" s="9"/>
      <c r="D50" s="9"/>
      <c r="E50" s="9"/>
      <c r="F50" s="9"/>
      <c r="G50" s="9"/>
      <c r="H50" s="9"/>
      <c r="I50" s="9"/>
      <c r="J50" s="9"/>
      <c r="K50" s="9"/>
      <c r="L50" s="10" t="str">
        <f t="shared" si="1"/>
        <v/>
      </c>
      <c r="M50" s="9"/>
      <c r="N50" s="9"/>
      <c r="O50" s="9"/>
      <c r="P50" s="9"/>
      <c r="Q50" s="9"/>
      <c r="R50" s="9"/>
      <c r="S50" s="9"/>
      <c r="T50" s="9"/>
      <c r="U50" s="9"/>
      <c r="V50" s="10" t="str">
        <f t="shared" si="2"/>
        <v/>
      </c>
      <c r="W50" s="11" t="str">
        <f>IF(L50&lt;&gt;"",IF(M50="",(L50*2+(LOOKUP(B50,AB:AB,AD:AD)))+72,L50+V50+72+LOOKUP(B50,AB:AB,AD:AD)),"")</f>
        <v/>
      </c>
      <c r="X50" s="11" t="str">
        <f t="shared" si="4"/>
        <v/>
      </c>
      <c r="Y50"/>
      <c r="AB50" s="42"/>
      <c r="AC50" s="42"/>
      <c r="AD50" s="42" t="str">
        <f t="shared" si="0"/>
        <v/>
      </c>
    </row>
    <row r="51" spans="1:30" x14ac:dyDescent="0.25">
      <c r="A51" s="12"/>
      <c r="B51" s="13"/>
      <c r="C51" s="9"/>
      <c r="D51" s="9"/>
      <c r="E51" s="9"/>
      <c r="F51" s="9"/>
      <c r="G51" s="9"/>
      <c r="H51" s="9"/>
      <c r="I51" s="9"/>
      <c r="J51" s="9"/>
      <c r="K51" s="9"/>
      <c r="L51" s="10" t="str">
        <f t="shared" si="1"/>
        <v/>
      </c>
      <c r="M51" s="9"/>
      <c r="N51" s="9"/>
      <c r="O51" s="9"/>
      <c r="P51" s="9"/>
      <c r="Q51" s="9"/>
      <c r="R51" s="9"/>
      <c r="S51" s="9"/>
      <c r="T51" s="9"/>
      <c r="U51" s="9"/>
      <c r="V51" s="10" t="str">
        <f t="shared" si="2"/>
        <v/>
      </c>
      <c r="W51" s="11" t="str">
        <f t="shared" ref="W51:W60" si="5">IF(L51&lt;&gt;"",IF(M51="",(L51*2+(LOOKUP(B51,AB:AB,AD:AD)))+72,L51+V51+72+LOOKUP(B51,AB:AB,AD:AD)),"")</f>
        <v/>
      </c>
      <c r="X51" s="11" t="str">
        <f t="shared" si="4"/>
        <v/>
      </c>
      <c r="Y51"/>
      <c r="AB51" s="42"/>
      <c r="AC51" s="42"/>
      <c r="AD51" s="42" t="str">
        <f t="shared" si="0"/>
        <v/>
      </c>
    </row>
    <row r="52" spans="1:30" x14ac:dyDescent="0.25">
      <c r="A52" s="12"/>
      <c r="B52" s="13"/>
      <c r="C52" s="9"/>
      <c r="D52" s="9"/>
      <c r="E52" s="9"/>
      <c r="F52" s="9"/>
      <c r="G52" s="9"/>
      <c r="H52" s="9"/>
      <c r="I52" s="9"/>
      <c r="J52" s="9"/>
      <c r="K52" s="9"/>
      <c r="L52" s="10" t="str">
        <f t="shared" si="1"/>
        <v/>
      </c>
      <c r="M52" s="9"/>
      <c r="N52" s="9"/>
      <c r="O52" s="9"/>
      <c r="P52" s="9"/>
      <c r="Q52" s="9"/>
      <c r="R52" s="9"/>
      <c r="S52" s="9"/>
      <c r="T52" s="9"/>
      <c r="U52" s="9"/>
      <c r="V52" s="10" t="str">
        <f t="shared" si="2"/>
        <v/>
      </c>
      <c r="W52" s="11" t="str">
        <f t="shared" si="5"/>
        <v/>
      </c>
      <c r="X52" s="11" t="str">
        <f t="shared" si="4"/>
        <v/>
      </c>
      <c r="Y52"/>
      <c r="AB52" s="42"/>
      <c r="AC52" s="42"/>
      <c r="AD52" s="42" t="str">
        <f t="shared" si="0"/>
        <v/>
      </c>
    </row>
    <row r="53" spans="1:30" x14ac:dyDescent="0.25">
      <c r="A53" s="12"/>
      <c r="B53" s="13"/>
      <c r="C53" s="9"/>
      <c r="D53" s="9"/>
      <c r="E53" s="9"/>
      <c r="F53" s="9"/>
      <c r="G53" s="9"/>
      <c r="H53" s="9"/>
      <c r="I53" s="9"/>
      <c r="J53" s="9"/>
      <c r="K53" s="9"/>
      <c r="L53" s="10" t="str">
        <f t="shared" si="1"/>
        <v/>
      </c>
      <c r="M53" s="9"/>
      <c r="N53" s="9"/>
      <c r="O53" s="9"/>
      <c r="P53" s="9"/>
      <c r="Q53" s="9"/>
      <c r="R53" s="9"/>
      <c r="S53" s="9"/>
      <c r="T53" s="9"/>
      <c r="U53" s="9"/>
      <c r="V53" s="10" t="str">
        <f t="shared" si="2"/>
        <v/>
      </c>
      <c r="W53" s="11" t="str">
        <f t="shared" si="5"/>
        <v/>
      </c>
      <c r="X53" s="11" t="str">
        <f t="shared" si="4"/>
        <v/>
      </c>
      <c r="Y53"/>
      <c r="AB53" s="42"/>
      <c r="AC53" s="42"/>
      <c r="AD53" s="42" t="str">
        <f t="shared" si="0"/>
        <v/>
      </c>
    </row>
    <row r="54" spans="1:30" x14ac:dyDescent="0.25">
      <c r="A54" s="12"/>
      <c r="B54" s="13"/>
      <c r="C54" s="9"/>
      <c r="D54" s="9"/>
      <c r="E54" s="9"/>
      <c r="F54" s="9"/>
      <c r="G54" s="9"/>
      <c r="H54" s="9"/>
      <c r="I54" s="9"/>
      <c r="J54" s="9"/>
      <c r="K54" s="9"/>
      <c r="L54" s="10" t="str">
        <f t="shared" si="1"/>
        <v/>
      </c>
      <c r="M54" s="9"/>
      <c r="N54" s="9"/>
      <c r="O54" s="9"/>
      <c r="P54" s="9"/>
      <c r="Q54" s="9"/>
      <c r="R54" s="9"/>
      <c r="S54" s="9"/>
      <c r="T54" s="9"/>
      <c r="U54" s="9"/>
      <c r="V54" s="10" t="str">
        <f t="shared" si="2"/>
        <v/>
      </c>
      <c r="W54" s="11" t="str">
        <f t="shared" si="5"/>
        <v/>
      </c>
      <c r="X54" s="11" t="str">
        <f t="shared" si="4"/>
        <v/>
      </c>
      <c r="Y54"/>
      <c r="AB54" s="42"/>
      <c r="AC54" s="42"/>
      <c r="AD54" s="42" t="str">
        <f t="shared" si="0"/>
        <v/>
      </c>
    </row>
    <row r="55" spans="1:30" x14ac:dyDescent="0.25">
      <c r="A55" s="12"/>
      <c r="B55" s="13"/>
      <c r="C55" s="9"/>
      <c r="D55" s="9"/>
      <c r="E55" s="9"/>
      <c r="F55" s="9"/>
      <c r="G55" s="9"/>
      <c r="H55" s="9"/>
      <c r="I55" s="9"/>
      <c r="J55" s="9"/>
      <c r="K55" s="9"/>
      <c r="L55" s="10" t="str">
        <f t="shared" si="1"/>
        <v/>
      </c>
      <c r="M55" s="9"/>
      <c r="N55" s="9"/>
      <c r="O55" s="9"/>
      <c r="P55" s="9"/>
      <c r="Q55" s="9"/>
      <c r="R55" s="9"/>
      <c r="S55" s="9"/>
      <c r="T55" s="9"/>
      <c r="U55" s="9"/>
      <c r="V55" s="10" t="str">
        <f t="shared" si="2"/>
        <v/>
      </c>
      <c r="W55" s="11" t="str">
        <f t="shared" si="5"/>
        <v/>
      </c>
      <c r="X55" s="11" t="str">
        <f t="shared" si="4"/>
        <v/>
      </c>
      <c r="Y55"/>
      <c r="AB55" s="42"/>
      <c r="AC55" s="42"/>
      <c r="AD55" s="42" t="str">
        <f t="shared" si="0"/>
        <v/>
      </c>
    </row>
    <row r="56" spans="1:30" x14ac:dyDescent="0.25">
      <c r="A56" s="12"/>
      <c r="B56" s="13"/>
      <c r="C56" s="9"/>
      <c r="D56" s="9"/>
      <c r="E56" s="9"/>
      <c r="F56" s="9"/>
      <c r="G56" s="9"/>
      <c r="H56" s="9"/>
      <c r="I56" s="9"/>
      <c r="J56" s="9"/>
      <c r="K56" s="9"/>
      <c r="L56" s="10" t="str">
        <f t="shared" si="1"/>
        <v/>
      </c>
      <c r="M56" s="9"/>
      <c r="N56" s="9"/>
      <c r="O56" s="9"/>
      <c r="P56" s="9"/>
      <c r="Q56" s="9"/>
      <c r="R56" s="9"/>
      <c r="S56" s="9"/>
      <c r="T56" s="9"/>
      <c r="U56" s="9"/>
      <c r="V56" s="10" t="str">
        <f t="shared" si="2"/>
        <v/>
      </c>
      <c r="W56" s="11" t="str">
        <f t="shared" si="5"/>
        <v/>
      </c>
      <c r="X56" s="11" t="str">
        <f t="shared" si="4"/>
        <v/>
      </c>
      <c r="Y56"/>
      <c r="AB56" s="42"/>
      <c r="AC56" s="42"/>
      <c r="AD56" s="42" t="str">
        <f t="shared" si="0"/>
        <v/>
      </c>
    </row>
    <row r="57" spans="1:30" x14ac:dyDescent="0.25">
      <c r="A57" s="12"/>
      <c r="B57" s="13"/>
      <c r="C57" s="9"/>
      <c r="D57" s="9"/>
      <c r="E57" s="9"/>
      <c r="F57" s="9"/>
      <c r="G57" s="9"/>
      <c r="H57" s="9"/>
      <c r="I57" s="9"/>
      <c r="J57" s="9"/>
      <c r="K57" s="9"/>
      <c r="L57" s="10" t="str">
        <f t="shared" si="1"/>
        <v/>
      </c>
      <c r="M57" s="9"/>
      <c r="N57" s="9"/>
      <c r="O57" s="9"/>
      <c r="P57" s="9"/>
      <c r="Q57" s="9"/>
      <c r="R57" s="9"/>
      <c r="S57" s="9"/>
      <c r="T57" s="9"/>
      <c r="U57" s="9"/>
      <c r="V57" s="10" t="str">
        <f t="shared" si="2"/>
        <v/>
      </c>
      <c r="W57" s="11" t="str">
        <f t="shared" si="5"/>
        <v/>
      </c>
      <c r="X57" s="11" t="str">
        <f t="shared" si="4"/>
        <v/>
      </c>
      <c r="Y57"/>
      <c r="AB57" s="42"/>
      <c r="AC57" s="42"/>
      <c r="AD57" s="42" t="str">
        <f t="shared" si="0"/>
        <v/>
      </c>
    </row>
    <row r="58" spans="1:30" x14ac:dyDescent="0.25">
      <c r="A58" s="12"/>
      <c r="B58" s="13"/>
      <c r="C58" s="9"/>
      <c r="D58" s="9"/>
      <c r="E58" s="9"/>
      <c r="F58" s="9"/>
      <c r="G58" s="9"/>
      <c r="H58" s="9"/>
      <c r="I58" s="9"/>
      <c r="J58" s="9"/>
      <c r="K58" s="9"/>
      <c r="L58" s="10" t="str">
        <f t="shared" si="1"/>
        <v/>
      </c>
      <c r="M58" s="9"/>
      <c r="N58" s="9"/>
      <c r="O58" s="9"/>
      <c r="P58" s="9"/>
      <c r="Q58" s="9"/>
      <c r="R58" s="9"/>
      <c r="S58" s="9"/>
      <c r="T58" s="9"/>
      <c r="U58" s="9"/>
      <c r="V58" s="10" t="str">
        <f t="shared" si="2"/>
        <v/>
      </c>
      <c r="W58" s="11" t="str">
        <f t="shared" si="5"/>
        <v/>
      </c>
      <c r="X58" s="11" t="str">
        <f t="shared" si="4"/>
        <v/>
      </c>
      <c r="Y58"/>
      <c r="AB58" s="42"/>
      <c r="AC58" s="42"/>
      <c r="AD58" s="42" t="str">
        <f t="shared" si="0"/>
        <v/>
      </c>
    </row>
    <row r="59" spans="1:30" x14ac:dyDescent="0.25">
      <c r="A59" s="12"/>
      <c r="B59" s="13"/>
      <c r="C59" s="9"/>
      <c r="D59" s="9"/>
      <c r="E59" s="9"/>
      <c r="F59" s="9"/>
      <c r="G59" s="9"/>
      <c r="H59" s="9"/>
      <c r="I59" s="9"/>
      <c r="J59" s="9"/>
      <c r="K59" s="9"/>
      <c r="L59" s="10" t="str">
        <f t="shared" si="1"/>
        <v/>
      </c>
      <c r="M59" s="9"/>
      <c r="N59" s="9"/>
      <c r="O59" s="9"/>
      <c r="P59" s="9"/>
      <c r="Q59" s="9"/>
      <c r="R59" s="9"/>
      <c r="S59" s="9"/>
      <c r="T59" s="9"/>
      <c r="U59" s="9"/>
      <c r="V59" s="10" t="str">
        <f t="shared" si="2"/>
        <v/>
      </c>
      <c r="W59" s="11" t="str">
        <f t="shared" si="5"/>
        <v/>
      </c>
      <c r="X59" s="11" t="str">
        <f t="shared" si="4"/>
        <v/>
      </c>
      <c r="Y59"/>
      <c r="AB59" s="42"/>
      <c r="AC59" s="42"/>
      <c r="AD59" s="42" t="str">
        <f t="shared" si="0"/>
        <v/>
      </c>
    </row>
    <row r="60" spans="1:30" x14ac:dyDescent="0.25">
      <c r="A60" s="45"/>
      <c r="B60" s="14"/>
      <c r="C60" s="15"/>
      <c r="D60" s="15"/>
      <c r="E60" s="15"/>
      <c r="F60" s="15"/>
      <c r="G60" s="15"/>
      <c r="H60" s="15"/>
      <c r="I60" s="15"/>
      <c r="J60" s="15"/>
      <c r="K60" s="15"/>
      <c r="L60" s="16" t="str">
        <f t="shared" si="1"/>
        <v/>
      </c>
      <c r="M60" s="15"/>
      <c r="N60" s="15"/>
      <c r="O60" s="15"/>
      <c r="P60" s="15"/>
      <c r="Q60" s="15"/>
      <c r="R60" s="15"/>
      <c r="S60" s="15"/>
      <c r="T60" s="15"/>
      <c r="U60" s="15"/>
      <c r="V60" s="16" t="str">
        <f t="shared" si="2"/>
        <v/>
      </c>
      <c r="W60" s="17" t="str">
        <f t="shared" si="5"/>
        <v/>
      </c>
      <c r="X60" s="17" t="str">
        <f t="shared" si="4"/>
        <v/>
      </c>
      <c r="Y60"/>
      <c r="AB60" s="42"/>
      <c r="AC60" s="42"/>
      <c r="AD60" s="42" t="str">
        <f t="shared" si="0"/>
        <v/>
      </c>
    </row>
  </sheetData>
  <sheetProtection sheet="1" objects="1" scenarios="1" selectLockedCells="1"/>
  <mergeCells count="47">
    <mergeCell ref="B1:C1"/>
    <mergeCell ref="D1:E1"/>
    <mergeCell ref="G1:L1"/>
    <mergeCell ref="M1:N1"/>
    <mergeCell ref="P1:V1"/>
    <mergeCell ref="R2:S2"/>
    <mergeCell ref="T2:U2"/>
    <mergeCell ref="B3:C3"/>
    <mergeCell ref="D3:E3"/>
    <mergeCell ref="G3:L3"/>
    <mergeCell ref="M3:N3"/>
    <mergeCell ref="P3:Q3"/>
    <mergeCell ref="R3:S3"/>
    <mergeCell ref="T3:U3"/>
    <mergeCell ref="B2:C2"/>
    <mergeCell ref="D2:E2"/>
    <mergeCell ref="G2:L2"/>
    <mergeCell ref="M2:N2"/>
    <mergeCell ref="P2:Q2"/>
    <mergeCell ref="T4:U4"/>
    <mergeCell ref="B5:C5"/>
    <mergeCell ref="D5:E5"/>
    <mergeCell ref="G5:L5"/>
    <mergeCell ref="M5:N5"/>
    <mergeCell ref="P5:Q5"/>
    <mergeCell ref="R5:S5"/>
    <mergeCell ref="T5:U5"/>
    <mergeCell ref="B4:C4"/>
    <mergeCell ref="D4:E4"/>
    <mergeCell ref="G4:L4"/>
    <mergeCell ref="M4:N4"/>
    <mergeCell ref="P4:Q4"/>
    <mergeCell ref="R4:S4"/>
    <mergeCell ref="T6:U6"/>
    <mergeCell ref="B7:C7"/>
    <mergeCell ref="D7:E7"/>
    <mergeCell ref="G7:L7"/>
    <mergeCell ref="M7:N7"/>
    <mergeCell ref="P7:Q7"/>
    <mergeCell ref="R7:S7"/>
    <mergeCell ref="T7:U7"/>
    <mergeCell ref="B6:C6"/>
    <mergeCell ref="D6:E6"/>
    <mergeCell ref="G6:L6"/>
    <mergeCell ref="M6:N6"/>
    <mergeCell ref="P6:Q6"/>
    <mergeCell ref="R6:S6"/>
  </mergeCells>
  <dataValidations count="1">
    <dataValidation type="list" allowBlank="1" showInputMessage="1" showErrorMessage="1" sqref="B11:B60" xr:uid="{00000000-0002-0000-0300-000000000000}">
      <formula1>$AB:$AB</formula1>
    </dataValidation>
  </dataValidations>
  <printOptions horizontalCentered="1"/>
  <pageMargins left="0.7" right="0.7" top="0.75" bottom="0.75" header="0.3" footer="0.3"/>
  <pageSetup scale="76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D60"/>
  <sheetViews>
    <sheetView workbookViewId="0">
      <pane ySplit="10" topLeftCell="A11" activePane="bottomLeft" state="frozen"/>
      <selection pane="bottomLeft" activeCell="A15" sqref="A15"/>
    </sheetView>
  </sheetViews>
  <sheetFormatPr defaultRowHeight="15" x14ac:dyDescent="0.25"/>
  <cols>
    <col min="1" max="1" width="9.85546875" customWidth="1"/>
    <col min="2" max="2" width="16.42578125" customWidth="1"/>
    <col min="3" max="3" width="3" customWidth="1"/>
    <col min="4" max="11" width="3" style="1" customWidth="1"/>
    <col min="12" max="12" width="5.28515625" style="1" customWidth="1"/>
    <col min="13" max="21" width="3" style="1" customWidth="1"/>
    <col min="22" max="24" width="5.28515625" style="1" customWidth="1"/>
    <col min="25" max="25" width="2" style="1" customWidth="1"/>
    <col min="26" max="26" width="10.5703125" bestFit="1" customWidth="1"/>
    <col min="27" max="27" width="10.7109375" customWidth="1"/>
    <col min="28" max="28" width="19.85546875" style="44" customWidth="1"/>
    <col min="29" max="29" width="4.5703125" style="44" bestFit="1" customWidth="1"/>
    <col min="30" max="30" width="4.28515625" style="44" bestFit="1" customWidth="1"/>
  </cols>
  <sheetData>
    <row r="1" spans="1:30" x14ac:dyDescent="0.25">
      <c r="A1" s="2"/>
      <c r="B1" s="48" t="s">
        <v>39</v>
      </c>
      <c r="C1" s="49"/>
      <c r="D1" s="50">
        <f>ROUND(AVERAGE(W11:W60),0)</f>
        <v>97</v>
      </c>
      <c r="E1" s="51"/>
      <c r="G1" s="57" t="s">
        <v>2</v>
      </c>
      <c r="H1" s="58"/>
      <c r="I1" s="58"/>
      <c r="J1" s="58"/>
      <c r="K1" s="58"/>
      <c r="L1" s="58"/>
      <c r="M1" s="59">
        <f>MIN(W11:W60)</f>
        <v>93</v>
      </c>
      <c r="N1" s="60"/>
      <c r="P1" s="61" t="s">
        <v>0</v>
      </c>
      <c r="Q1" s="62"/>
      <c r="R1" s="62"/>
      <c r="S1" s="62"/>
      <c r="T1" s="62"/>
      <c r="U1" s="62"/>
      <c r="V1" s="63"/>
      <c r="Z1" s="35"/>
      <c r="AA1" s="35"/>
      <c r="AB1" s="41" t="s">
        <v>37</v>
      </c>
      <c r="AC1" s="41" t="s">
        <v>35</v>
      </c>
      <c r="AD1" s="41" t="s">
        <v>36</v>
      </c>
    </row>
    <row r="2" spans="1:30" x14ac:dyDescent="0.25">
      <c r="A2" s="2"/>
      <c r="B2" s="48" t="s">
        <v>42</v>
      </c>
      <c r="C2" s="49"/>
      <c r="D2" s="50">
        <f>AVERAGEIF(X:X,"&gt;0")</f>
        <v>25</v>
      </c>
      <c r="E2" s="51"/>
      <c r="G2" s="48"/>
      <c r="H2" s="49"/>
      <c r="I2" s="49"/>
      <c r="J2" s="49"/>
      <c r="K2" s="49"/>
      <c r="L2" s="49"/>
      <c r="M2" s="54"/>
      <c r="N2" s="55"/>
      <c r="P2" s="46" t="s">
        <v>3</v>
      </c>
      <c r="Q2" s="47"/>
      <c r="R2" s="53">
        <v>220</v>
      </c>
      <c r="S2" s="53"/>
      <c r="T2" s="52" t="s">
        <v>4</v>
      </c>
      <c r="U2" s="47"/>
      <c r="V2" s="3">
        <v>150</v>
      </c>
      <c r="Z2" s="36"/>
      <c r="AA2" s="36"/>
      <c r="AB2" s="42"/>
      <c r="AC2" s="42"/>
      <c r="AD2" s="42" t="str">
        <f>IF(AC2&lt;&gt;"",AC2-72,"")</f>
        <v/>
      </c>
    </row>
    <row r="3" spans="1:30" x14ac:dyDescent="0.25">
      <c r="A3" s="2"/>
      <c r="B3" s="48" t="s">
        <v>10</v>
      </c>
      <c r="C3" s="49"/>
      <c r="D3" s="50">
        <f>COUNTIF(C11:V60,-1)</f>
        <v>1</v>
      </c>
      <c r="E3" s="51"/>
      <c r="G3" s="48" t="s">
        <v>11</v>
      </c>
      <c r="H3" s="49"/>
      <c r="I3" s="49"/>
      <c r="J3" s="49"/>
      <c r="K3" s="49"/>
      <c r="L3" s="49"/>
      <c r="M3" s="54">
        <f>D3/$M$7</f>
        <v>1.3888888888888888E-2</v>
      </c>
      <c r="N3" s="55"/>
      <c r="P3" s="46" t="s">
        <v>7</v>
      </c>
      <c r="Q3" s="47"/>
      <c r="R3" s="53">
        <v>200</v>
      </c>
      <c r="S3" s="53"/>
      <c r="T3" s="52" t="s">
        <v>8</v>
      </c>
      <c r="U3" s="47"/>
      <c r="V3" s="3">
        <v>140</v>
      </c>
      <c r="Z3" s="36"/>
      <c r="AA3" s="36"/>
      <c r="AB3" s="42" t="s">
        <v>9</v>
      </c>
      <c r="AC3" s="42">
        <v>72</v>
      </c>
      <c r="AD3" s="42">
        <f t="shared" ref="AD3:AD60" si="0">IF(AC3&lt;&gt;"",AC3-72,"")</f>
        <v>0</v>
      </c>
    </row>
    <row r="4" spans="1:30" x14ac:dyDescent="0.25">
      <c r="B4" s="48" t="s">
        <v>15</v>
      </c>
      <c r="C4" s="49"/>
      <c r="D4" s="50">
        <f>COUNTIF(C11:V60,0)</f>
        <v>9</v>
      </c>
      <c r="E4" s="51"/>
      <c r="G4" s="48" t="s">
        <v>16</v>
      </c>
      <c r="H4" s="49"/>
      <c r="I4" s="49"/>
      <c r="J4" s="49"/>
      <c r="K4" s="49"/>
      <c r="L4" s="49"/>
      <c r="M4" s="54">
        <f>D4/$M$7</f>
        <v>0.125</v>
      </c>
      <c r="N4" s="55"/>
      <c r="P4" s="46" t="s">
        <v>12</v>
      </c>
      <c r="Q4" s="47"/>
      <c r="R4" s="53">
        <v>190</v>
      </c>
      <c r="S4" s="53"/>
      <c r="T4" s="52" t="s">
        <v>13</v>
      </c>
      <c r="U4" s="47"/>
      <c r="V4" s="3">
        <v>130</v>
      </c>
      <c r="Z4" s="36"/>
      <c r="AA4" s="36"/>
      <c r="AB4" s="42" t="s">
        <v>24</v>
      </c>
      <c r="AC4" s="42">
        <v>72</v>
      </c>
      <c r="AD4" s="42">
        <f t="shared" si="0"/>
        <v>0</v>
      </c>
    </row>
    <row r="5" spans="1:30" x14ac:dyDescent="0.25">
      <c r="B5" s="48" t="s">
        <v>20</v>
      </c>
      <c r="C5" s="49"/>
      <c r="D5" s="50">
        <f>COUNTIF(C11:V60,1)</f>
        <v>33</v>
      </c>
      <c r="E5" s="51"/>
      <c r="G5" s="48" t="s">
        <v>21</v>
      </c>
      <c r="H5" s="49"/>
      <c r="I5" s="49"/>
      <c r="J5" s="49"/>
      <c r="K5" s="49"/>
      <c r="L5" s="49"/>
      <c r="M5" s="54">
        <f>D5/$M$7</f>
        <v>0.45833333333333331</v>
      </c>
      <c r="N5" s="55"/>
      <c r="P5" s="56" t="s">
        <v>17</v>
      </c>
      <c r="Q5" s="47"/>
      <c r="R5" s="53">
        <v>180</v>
      </c>
      <c r="S5" s="53"/>
      <c r="T5" s="52" t="s">
        <v>18</v>
      </c>
      <c r="U5" s="47"/>
      <c r="V5" s="3">
        <v>120</v>
      </c>
      <c r="Z5" s="36"/>
      <c r="AA5" s="36"/>
      <c r="AB5" s="42" t="s">
        <v>19</v>
      </c>
      <c r="AC5" s="42">
        <v>72</v>
      </c>
      <c r="AD5" s="42">
        <f t="shared" si="0"/>
        <v>0</v>
      </c>
    </row>
    <row r="6" spans="1:30" x14ac:dyDescent="0.25">
      <c r="B6" s="48" t="s">
        <v>25</v>
      </c>
      <c r="C6" s="49"/>
      <c r="D6" s="50">
        <f>COUNTIF(C11:V60,2)</f>
        <v>21</v>
      </c>
      <c r="E6" s="51"/>
      <c r="G6" s="48" t="s">
        <v>26</v>
      </c>
      <c r="H6" s="49"/>
      <c r="I6" s="49"/>
      <c r="J6" s="49"/>
      <c r="K6" s="49"/>
      <c r="L6" s="49"/>
      <c r="M6" s="54">
        <f>D6/$M$7</f>
        <v>0.29166666666666669</v>
      </c>
      <c r="N6" s="55"/>
      <c r="P6" s="56" t="s">
        <v>22</v>
      </c>
      <c r="Q6" s="47"/>
      <c r="R6" s="53">
        <v>170</v>
      </c>
      <c r="S6" s="53"/>
      <c r="T6" s="46" t="s">
        <v>23</v>
      </c>
      <c r="U6" s="47"/>
      <c r="V6" s="3">
        <v>110</v>
      </c>
      <c r="Z6" s="36"/>
      <c r="AA6" s="36"/>
      <c r="AB6" s="42" t="s">
        <v>34</v>
      </c>
      <c r="AC6" s="42">
        <v>70</v>
      </c>
      <c r="AD6" s="42">
        <f t="shared" si="0"/>
        <v>-2</v>
      </c>
    </row>
    <row r="7" spans="1:30" x14ac:dyDescent="0.25">
      <c r="B7" s="48" t="s">
        <v>40</v>
      </c>
      <c r="C7" s="49"/>
      <c r="D7" s="50">
        <f>COUNTA(A10:A60)-1</f>
        <v>4</v>
      </c>
      <c r="E7" s="51"/>
      <c r="G7" s="48" t="s">
        <v>38</v>
      </c>
      <c r="H7" s="49"/>
      <c r="I7" s="49"/>
      <c r="J7" s="49"/>
      <c r="K7" s="49"/>
      <c r="L7" s="49"/>
      <c r="M7" s="50">
        <f>COUNT(C11:K60)+COUNT(M11:U60)</f>
        <v>72</v>
      </c>
      <c r="N7" s="51"/>
      <c r="P7" s="52" t="s">
        <v>27</v>
      </c>
      <c r="Q7" s="47"/>
      <c r="R7" s="53">
        <v>160</v>
      </c>
      <c r="S7" s="53"/>
      <c r="T7" s="46" t="s">
        <v>28</v>
      </c>
      <c r="U7" s="47"/>
      <c r="V7" s="3">
        <v>100</v>
      </c>
      <c r="Z7" s="36"/>
      <c r="AA7" s="36"/>
      <c r="AB7" s="42" t="s">
        <v>14</v>
      </c>
      <c r="AC7" s="42">
        <v>72</v>
      </c>
      <c r="AD7" s="42">
        <f t="shared" si="0"/>
        <v>0</v>
      </c>
    </row>
    <row r="8" spans="1:30" x14ac:dyDescent="0.25">
      <c r="O8" s="37"/>
      <c r="P8" s="38"/>
      <c r="Q8" s="39"/>
      <c r="R8" s="40"/>
      <c r="S8" s="40"/>
      <c r="T8" s="39"/>
      <c r="U8" s="39"/>
      <c r="V8" s="40"/>
      <c r="W8" s="37"/>
      <c r="Z8" s="36"/>
      <c r="AA8" s="36"/>
      <c r="AB8" s="42" t="s">
        <v>41</v>
      </c>
      <c r="AC8" s="42">
        <v>72</v>
      </c>
      <c r="AD8" s="42">
        <f t="shared" si="0"/>
        <v>0</v>
      </c>
    </row>
    <row r="9" spans="1:30" x14ac:dyDescent="0.25">
      <c r="Z9" s="36"/>
      <c r="AA9" s="36"/>
      <c r="AB9" s="42"/>
      <c r="AC9" s="42"/>
      <c r="AD9" s="42" t="str">
        <f t="shared" si="0"/>
        <v/>
      </c>
    </row>
    <row r="10" spans="1:30" s="6" customFormat="1" x14ac:dyDescent="0.25">
      <c r="A10" s="4" t="s">
        <v>29</v>
      </c>
      <c r="B10" s="4" t="s">
        <v>1</v>
      </c>
      <c r="C10" s="4">
        <v>1</v>
      </c>
      <c r="D10" s="4">
        <v>2</v>
      </c>
      <c r="E10" s="4">
        <v>3</v>
      </c>
      <c r="F10" s="4">
        <v>4</v>
      </c>
      <c r="G10" s="4">
        <v>5</v>
      </c>
      <c r="H10" s="4">
        <v>6</v>
      </c>
      <c r="I10" s="4">
        <v>7</v>
      </c>
      <c r="J10" s="4">
        <v>8</v>
      </c>
      <c r="K10" s="4">
        <v>9</v>
      </c>
      <c r="L10" s="5" t="s">
        <v>30</v>
      </c>
      <c r="M10" s="4">
        <v>10</v>
      </c>
      <c r="N10" s="4">
        <v>11</v>
      </c>
      <c r="O10" s="4">
        <v>12</v>
      </c>
      <c r="P10" s="4">
        <v>13</v>
      </c>
      <c r="Q10" s="4">
        <v>14</v>
      </c>
      <c r="R10" s="4">
        <v>15</v>
      </c>
      <c r="S10" s="4">
        <v>16</v>
      </c>
      <c r="T10" s="4">
        <v>17</v>
      </c>
      <c r="U10" s="4">
        <v>18</v>
      </c>
      <c r="V10" s="5" t="s">
        <v>31</v>
      </c>
      <c r="W10" s="4" t="s">
        <v>32</v>
      </c>
      <c r="X10" s="4" t="s">
        <v>33</v>
      </c>
      <c r="AB10" s="43"/>
      <c r="AC10" s="43"/>
      <c r="AD10" s="42" t="str">
        <f t="shared" si="0"/>
        <v/>
      </c>
    </row>
    <row r="11" spans="1:30" x14ac:dyDescent="0.25">
      <c r="A11" s="7">
        <v>41314</v>
      </c>
      <c r="B11" s="8" t="s">
        <v>19</v>
      </c>
      <c r="C11" s="9">
        <v>2</v>
      </c>
      <c r="D11" s="9">
        <v>3</v>
      </c>
      <c r="E11" s="9">
        <v>1</v>
      </c>
      <c r="F11" s="9">
        <v>0</v>
      </c>
      <c r="G11" s="9">
        <v>-1</v>
      </c>
      <c r="H11" s="9">
        <v>2</v>
      </c>
      <c r="I11" s="9">
        <v>2</v>
      </c>
      <c r="J11" s="9">
        <v>1</v>
      </c>
      <c r="K11" s="9">
        <v>1</v>
      </c>
      <c r="L11" s="10">
        <f t="shared" ref="L11:L42" si="1">IF(C11&lt;&gt;"",SUM(C11:K11),"")</f>
        <v>11</v>
      </c>
      <c r="M11" s="9">
        <v>2</v>
      </c>
      <c r="N11" s="9">
        <v>2</v>
      </c>
      <c r="O11" s="9">
        <v>2</v>
      </c>
      <c r="P11" s="9">
        <v>1</v>
      </c>
      <c r="Q11" s="9">
        <v>2</v>
      </c>
      <c r="R11" s="9">
        <v>1</v>
      </c>
      <c r="S11" s="9">
        <v>0</v>
      </c>
      <c r="T11" s="9">
        <v>1</v>
      </c>
      <c r="U11" s="9">
        <v>1</v>
      </c>
      <c r="V11" s="10">
        <f t="shared" ref="V11:V42" si="2">IF(M11&lt;&gt;"",SUM(M11:U11),"")</f>
        <v>12</v>
      </c>
      <c r="W11" s="11">
        <f t="shared" ref="W11:W42" si="3">IF(L11&lt;&gt;"",IF(M11="",(L11*2+(LOOKUP(B11,AB:AB,AD:AD)))+72,L11+V11+72+LOOKUP(B11,AB:AB,AD:AD)),"")</f>
        <v>95</v>
      </c>
      <c r="X11" s="11">
        <f t="shared" ref="X11:X60" si="4">IF(W11&lt;&gt;"",W11-72,"")</f>
        <v>23</v>
      </c>
      <c r="Y11"/>
      <c r="AB11" s="42"/>
      <c r="AC11" s="42"/>
      <c r="AD11" s="42" t="str">
        <f t="shared" si="0"/>
        <v/>
      </c>
    </row>
    <row r="12" spans="1:30" x14ac:dyDescent="0.25">
      <c r="A12" s="12">
        <v>41384</v>
      </c>
      <c r="B12" s="13" t="s">
        <v>19</v>
      </c>
      <c r="C12" s="9">
        <v>1</v>
      </c>
      <c r="D12" s="9">
        <v>1</v>
      </c>
      <c r="E12" s="9">
        <v>2</v>
      </c>
      <c r="F12" s="9">
        <v>2</v>
      </c>
      <c r="G12" s="9">
        <v>2</v>
      </c>
      <c r="H12" s="9">
        <v>2</v>
      </c>
      <c r="I12" s="9">
        <v>3</v>
      </c>
      <c r="J12" s="9">
        <v>1</v>
      </c>
      <c r="K12" s="9">
        <v>1</v>
      </c>
      <c r="L12" s="10">
        <f t="shared" si="1"/>
        <v>15</v>
      </c>
      <c r="M12" s="9">
        <v>1</v>
      </c>
      <c r="N12" s="9">
        <v>3</v>
      </c>
      <c r="O12" s="9">
        <v>1</v>
      </c>
      <c r="P12" s="9">
        <v>1</v>
      </c>
      <c r="Q12" s="9">
        <v>1</v>
      </c>
      <c r="R12" s="9">
        <v>1</v>
      </c>
      <c r="S12" s="9">
        <v>2</v>
      </c>
      <c r="T12" s="9">
        <v>1</v>
      </c>
      <c r="U12" s="9">
        <v>3</v>
      </c>
      <c r="V12" s="10">
        <f t="shared" si="2"/>
        <v>14</v>
      </c>
      <c r="W12" s="11">
        <f t="shared" si="3"/>
        <v>101</v>
      </c>
      <c r="X12" s="11">
        <f t="shared" si="4"/>
        <v>29</v>
      </c>
      <c r="Y12"/>
      <c r="AB12" s="42"/>
      <c r="AC12" s="42"/>
      <c r="AD12" s="42" t="str">
        <f t="shared" si="0"/>
        <v/>
      </c>
    </row>
    <row r="13" spans="1:30" x14ac:dyDescent="0.25">
      <c r="A13" s="12">
        <v>41410</v>
      </c>
      <c r="B13" s="13" t="s">
        <v>19</v>
      </c>
      <c r="C13" s="9">
        <v>1</v>
      </c>
      <c r="D13" s="9">
        <v>0</v>
      </c>
      <c r="E13" s="9">
        <v>1</v>
      </c>
      <c r="F13" s="9">
        <v>1</v>
      </c>
      <c r="G13" s="9">
        <v>3</v>
      </c>
      <c r="H13" s="9">
        <v>1</v>
      </c>
      <c r="I13" s="9">
        <v>1</v>
      </c>
      <c r="J13" s="9">
        <v>2</v>
      </c>
      <c r="K13" s="9">
        <v>1</v>
      </c>
      <c r="L13" s="10">
        <f t="shared" si="1"/>
        <v>11</v>
      </c>
      <c r="M13" s="9">
        <v>3</v>
      </c>
      <c r="N13" s="9">
        <v>3</v>
      </c>
      <c r="O13" s="9">
        <v>1</v>
      </c>
      <c r="P13" s="9">
        <v>0</v>
      </c>
      <c r="Q13" s="9">
        <v>2</v>
      </c>
      <c r="R13" s="9">
        <v>0</v>
      </c>
      <c r="S13" s="9">
        <v>1</v>
      </c>
      <c r="T13" s="9">
        <v>0</v>
      </c>
      <c r="U13" s="9">
        <v>0</v>
      </c>
      <c r="V13" s="10">
        <f t="shared" si="2"/>
        <v>10</v>
      </c>
      <c r="W13" s="11">
        <f t="shared" si="3"/>
        <v>93</v>
      </c>
      <c r="X13" s="11">
        <f t="shared" si="4"/>
        <v>21</v>
      </c>
      <c r="Y13"/>
      <c r="AB13" s="42"/>
      <c r="AC13" s="42"/>
      <c r="AD13" s="42" t="str">
        <f t="shared" si="0"/>
        <v/>
      </c>
    </row>
    <row r="14" spans="1:30" x14ac:dyDescent="0.25">
      <c r="A14" s="12">
        <v>41429</v>
      </c>
      <c r="B14" s="13" t="s">
        <v>19</v>
      </c>
      <c r="C14" s="9">
        <v>2</v>
      </c>
      <c r="D14" s="9">
        <v>2</v>
      </c>
      <c r="E14" s="9">
        <v>2</v>
      </c>
      <c r="F14" s="9">
        <v>2</v>
      </c>
      <c r="G14" s="9">
        <v>2</v>
      </c>
      <c r="H14" s="9">
        <v>0</v>
      </c>
      <c r="I14" s="9">
        <v>0</v>
      </c>
      <c r="J14" s="9">
        <v>1</v>
      </c>
      <c r="K14" s="9">
        <v>1</v>
      </c>
      <c r="L14" s="10">
        <f t="shared" si="1"/>
        <v>12</v>
      </c>
      <c r="M14" s="9">
        <v>1</v>
      </c>
      <c r="N14" s="9">
        <v>1</v>
      </c>
      <c r="O14" s="9">
        <v>5</v>
      </c>
      <c r="P14" s="9">
        <v>1</v>
      </c>
      <c r="Q14" s="9">
        <v>1</v>
      </c>
      <c r="R14" s="9">
        <v>1</v>
      </c>
      <c r="S14" s="9">
        <v>2</v>
      </c>
      <c r="T14" s="9">
        <v>2</v>
      </c>
      <c r="U14" s="9">
        <v>1</v>
      </c>
      <c r="V14" s="10">
        <f t="shared" si="2"/>
        <v>15</v>
      </c>
      <c r="W14" s="11">
        <f t="shared" si="3"/>
        <v>99</v>
      </c>
      <c r="X14" s="11">
        <f t="shared" si="4"/>
        <v>27</v>
      </c>
      <c r="Y14"/>
      <c r="AB14" s="42"/>
      <c r="AC14" s="42"/>
      <c r="AD14" s="42" t="str">
        <f t="shared" si="0"/>
        <v/>
      </c>
    </row>
    <row r="15" spans="1:30" x14ac:dyDescent="0.25">
      <c r="A15" s="12"/>
      <c r="B15" s="13"/>
      <c r="C15" s="9"/>
      <c r="D15" s="9"/>
      <c r="E15" s="9"/>
      <c r="F15" s="9"/>
      <c r="G15" s="9"/>
      <c r="H15" s="9"/>
      <c r="I15" s="9"/>
      <c r="J15" s="9"/>
      <c r="K15" s="9"/>
      <c r="L15" s="10" t="str">
        <f t="shared" si="1"/>
        <v/>
      </c>
      <c r="M15" s="9"/>
      <c r="N15" s="9"/>
      <c r="O15" s="9"/>
      <c r="P15" s="9"/>
      <c r="Q15" s="9"/>
      <c r="R15" s="9"/>
      <c r="S15" s="9"/>
      <c r="T15" s="9"/>
      <c r="U15" s="9"/>
      <c r="V15" s="10" t="str">
        <f t="shared" si="2"/>
        <v/>
      </c>
      <c r="W15" s="11" t="str">
        <f t="shared" si="3"/>
        <v/>
      </c>
      <c r="X15" s="11" t="str">
        <f t="shared" si="4"/>
        <v/>
      </c>
      <c r="Y15"/>
      <c r="AB15" s="42"/>
      <c r="AC15" s="42"/>
      <c r="AD15" s="42" t="str">
        <f t="shared" si="0"/>
        <v/>
      </c>
    </row>
    <row r="16" spans="1:30" x14ac:dyDescent="0.25">
      <c r="A16" s="12"/>
      <c r="B16" s="13"/>
      <c r="C16" s="9"/>
      <c r="D16" s="9"/>
      <c r="E16" s="9"/>
      <c r="F16" s="9"/>
      <c r="G16" s="9"/>
      <c r="H16" s="9"/>
      <c r="I16" s="9"/>
      <c r="J16" s="9"/>
      <c r="K16" s="9"/>
      <c r="L16" s="10" t="str">
        <f t="shared" si="1"/>
        <v/>
      </c>
      <c r="M16" s="9"/>
      <c r="N16" s="9"/>
      <c r="O16" s="9"/>
      <c r="P16" s="9"/>
      <c r="Q16" s="9"/>
      <c r="R16" s="9"/>
      <c r="S16" s="9"/>
      <c r="T16" s="9"/>
      <c r="U16" s="9"/>
      <c r="V16" s="10" t="str">
        <f t="shared" si="2"/>
        <v/>
      </c>
      <c r="W16" s="11" t="str">
        <f t="shared" si="3"/>
        <v/>
      </c>
      <c r="X16" s="11" t="str">
        <f t="shared" si="4"/>
        <v/>
      </c>
      <c r="Y16"/>
      <c r="AB16" s="42"/>
      <c r="AC16" s="42"/>
      <c r="AD16" s="42" t="str">
        <f t="shared" si="0"/>
        <v/>
      </c>
    </row>
    <row r="17" spans="1:30" x14ac:dyDescent="0.25">
      <c r="A17" s="12"/>
      <c r="B17" s="13"/>
      <c r="C17" s="9"/>
      <c r="D17" s="9"/>
      <c r="E17" s="9"/>
      <c r="F17" s="9"/>
      <c r="G17" s="9"/>
      <c r="H17" s="9"/>
      <c r="I17" s="9"/>
      <c r="J17" s="9"/>
      <c r="K17" s="9"/>
      <c r="L17" s="10" t="str">
        <f t="shared" si="1"/>
        <v/>
      </c>
      <c r="M17" s="9"/>
      <c r="N17" s="9"/>
      <c r="O17" s="9"/>
      <c r="P17" s="9"/>
      <c r="Q17" s="9"/>
      <c r="R17" s="9"/>
      <c r="S17" s="9"/>
      <c r="T17" s="9"/>
      <c r="U17" s="9"/>
      <c r="V17" s="10" t="str">
        <f t="shared" si="2"/>
        <v/>
      </c>
      <c r="W17" s="11" t="str">
        <f t="shared" si="3"/>
        <v/>
      </c>
      <c r="X17" s="11" t="str">
        <f t="shared" si="4"/>
        <v/>
      </c>
      <c r="Y17"/>
      <c r="AB17" s="42"/>
      <c r="AC17" s="42"/>
      <c r="AD17" s="42" t="str">
        <f t="shared" si="0"/>
        <v/>
      </c>
    </row>
    <row r="18" spans="1:30" x14ac:dyDescent="0.25">
      <c r="A18" s="12"/>
      <c r="B18" s="13"/>
      <c r="C18" s="9"/>
      <c r="D18" s="9"/>
      <c r="E18" s="9"/>
      <c r="F18" s="9"/>
      <c r="G18" s="9"/>
      <c r="H18" s="9"/>
      <c r="I18" s="9"/>
      <c r="J18" s="9"/>
      <c r="K18" s="9"/>
      <c r="L18" s="10" t="str">
        <f t="shared" si="1"/>
        <v/>
      </c>
      <c r="M18" s="9"/>
      <c r="N18" s="9"/>
      <c r="O18" s="9"/>
      <c r="P18" s="9"/>
      <c r="Q18" s="9"/>
      <c r="R18" s="9"/>
      <c r="S18" s="9"/>
      <c r="T18" s="9"/>
      <c r="U18" s="9"/>
      <c r="V18" s="10" t="str">
        <f t="shared" si="2"/>
        <v/>
      </c>
      <c r="W18" s="11" t="str">
        <f t="shared" si="3"/>
        <v/>
      </c>
      <c r="X18" s="11" t="str">
        <f t="shared" si="4"/>
        <v/>
      </c>
      <c r="Y18"/>
      <c r="AB18" s="42"/>
      <c r="AC18" s="42"/>
      <c r="AD18" s="42" t="str">
        <f t="shared" si="0"/>
        <v/>
      </c>
    </row>
    <row r="19" spans="1:30" x14ac:dyDescent="0.25">
      <c r="A19" s="12"/>
      <c r="B19" s="13"/>
      <c r="C19" s="9"/>
      <c r="D19" s="9"/>
      <c r="E19" s="9"/>
      <c r="F19" s="9"/>
      <c r="G19" s="9"/>
      <c r="H19" s="9"/>
      <c r="I19" s="9"/>
      <c r="J19" s="9"/>
      <c r="K19" s="9"/>
      <c r="L19" s="10" t="str">
        <f t="shared" si="1"/>
        <v/>
      </c>
      <c r="M19" s="9"/>
      <c r="N19" s="9"/>
      <c r="O19" s="9"/>
      <c r="P19" s="9"/>
      <c r="Q19" s="9"/>
      <c r="R19" s="9"/>
      <c r="S19" s="9"/>
      <c r="T19" s="9"/>
      <c r="U19" s="9"/>
      <c r="V19" s="10" t="str">
        <f t="shared" si="2"/>
        <v/>
      </c>
      <c r="W19" s="11" t="str">
        <f t="shared" si="3"/>
        <v/>
      </c>
      <c r="X19" s="11" t="str">
        <f t="shared" si="4"/>
        <v/>
      </c>
      <c r="Y19"/>
      <c r="AB19" s="42"/>
      <c r="AC19" s="42"/>
      <c r="AD19" s="42" t="str">
        <f t="shared" si="0"/>
        <v/>
      </c>
    </row>
    <row r="20" spans="1:30" x14ac:dyDescent="0.25">
      <c r="A20" s="12"/>
      <c r="B20" s="13"/>
      <c r="C20" s="9"/>
      <c r="D20" s="9"/>
      <c r="E20" s="9"/>
      <c r="F20" s="9"/>
      <c r="G20" s="9"/>
      <c r="H20" s="9"/>
      <c r="I20" s="9"/>
      <c r="J20" s="9"/>
      <c r="K20" s="9"/>
      <c r="L20" s="10" t="str">
        <f t="shared" si="1"/>
        <v/>
      </c>
      <c r="M20" s="9"/>
      <c r="N20" s="9"/>
      <c r="O20" s="9"/>
      <c r="P20" s="9"/>
      <c r="Q20" s="9"/>
      <c r="R20" s="9"/>
      <c r="S20" s="9"/>
      <c r="T20" s="9"/>
      <c r="U20" s="9"/>
      <c r="V20" s="10" t="str">
        <f t="shared" si="2"/>
        <v/>
      </c>
      <c r="W20" s="11" t="str">
        <f t="shared" si="3"/>
        <v/>
      </c>
      <c r="X20" s="11" t="str">
        <f t="shared" si="4"/>
        <v/>
      </c>
      <c r="Y20"/>
      <c r="AB20" s="42"/>
      <c r="AC20" s="42"/>
      <c r="AD20" s="42" t="str">
        <f t="shared" si="0"/>
        <v/>
      </c>
    </row>
    <row r="21" spans="1:30" x14ac:dyDescent="0.25">
      <c r="A21" s="12"/>
      <c r="B21" s="13"/>
      <c r="C21" s="9"/>
      <c r="D21" s="9"/>
      <c r="E21" s="9"/>
      <c r="F21" s="9"/>
      <c r="G21" s="9"/>
      <c r="H21" s="9"/>
      <c r="I21" s="9"/>
      <c r="J21" s="9"/>
      <c r="K21" s="9"/>
      <c r="L21" s="10" t="str">
        <f t="shared" si="1"/>
        <v/>
      </c>
      <c r="M21" s="9"/>
      <c r="N21" s="9"/>
      <c r="O21" s="9"/>
      <c r="P21" s="9"/>
      <c r="Q21" s="9"/>
      <c r="R21" s="9"/>
      <c r="S21" s="9"/>
      <c r="T21" s="9"/>
      <c r="U21" s="9"/>
      <c r="V21" s="10" t="str">
        <f t="shared" si="2"/>
        <v/>
      </c>
      <c r="W21" s="11" t="str">
        <f t="shared" si="3"/>
        <v/>
      </c>
      <c r="X21" s="11" t="str">
        <f t="shared" si="4"/>
        <v/>
      </c>
      <c r="Y21"/>
      <c r="AB21" s="42"/>
      <c r="AC21" s="42"/>
      <c r="AD21" s="42" t="str">
        <f t="shared" si="0"/>
        <v/>
      </c>
    </row>
    <row r="22" spans="1:30" x14ac:dyDescent="0.25">
      <c r="A22" s="12"/>
      <c r="B22" s="13"/>
      <c r="C22" s="9"/>
      <c r="D22" s="9"/>
      <c r="E22" s="9"/>
      <c r="F22" s="9"/>
      <c r="G22" s="9"/>
      <c r="H22" s="9"/>
      <c r="I22" s="9"/>
      <c r="J22" s="9"/>
      <c r="K22" s="9"/>
      <c r="L22" s="10" t="str">
        <f t="shared" si="1"/>
        <v/>
      </c>
      <c r="M22" s="9"/>
      <c r="N22" s="9"/>
      <c r="O22" s="9"/>
      <c r="P22" s="9"/>
      <c r="Q22" s="9"/>
      <c r="R22" s="9"/>
      <c r="S22" s="9"/>
      <c r="T22" s="9"/>
      <c r="U22" s="9"/>
      <c r="V22" s="10" t="str">
        <f t="shared" si="2"/>
        <v/>
      </c>
      <c r="W22" s="11" t="str">
        <f t="shared" si="3"/>
        <v/>
      </c>
      <c r="X22" s="11" t="str">
        <f t="shared" si="4"/>
        <v/>
      </c>
      <c r="Y22"/>
      <c r="AB22" s="42"/>
      <c r="AC22" s="42"/>
      <c r="AD22" s="42" t="str">
        <f t="shared" si="0"/>
        <v/>
      </c>
    </row>
    <row r="23" spans="1:30" x14ac:dyDescent="0.25">
      <c r="A23" s="12"/>
      <c r="B23" s="13"/>
      <c r="C23" s="9"/>
      <c r="D23" s="9"/>
      <c r="E23" s="9"/>
      <c r="F23" s="9"/>
      <c r="G23" s="9"/>
      <c r="H23" s="9"/>
      <c r="I23" s="9"/>
      <c r="J23" s="9"/>
      <c r="K23" s="9"/>
      <c r="L23" s="10" t="str">
        <f t="shared" si="1"/>
        <v/>
      </c>
      <c r="M23" s="9"/>
      <c r="N23" s="9"/>
      <c r="O23" s="9"/>
      <c r="P23" s="9"/>
      <c r="Q23" s="9"/>
      <c r="R23" s="9"/>
      <c r="S23" s="9"/>
      <c r="T23" s="9"/>
      <c r="U23" s="9"/>
      <c r="V23" s="10" t="str">
        <f t="shared" si="2"/>
        <v/>
      </c>
      <c r="W23" s="11" t="str">
        <f t="shared" si="3"/>
        <v/>
      </c>
      <c r="X23" s="11" t="str">
        <f t="shared" si="4"/>
        <v/>
      </c>
      <c r="Y23"/>
      <c r="AB23" s="42"/>
      <c r="AC23" s="42"/>
      <c r="AD23" s="42" t="str">
        <f t="shared" si="0"/>
        <v/>
      </c>
    </row>
    <row r="24" spans="1:30" x14ac:dyDescent="0.25">
      <c r="A24" s="12"/>
      <c r="B24" s="13"/>
      <c r="C24" s="9"/>
      <c r="D24" s="9"/>
      <c r="E24" s="9"/>
      <c r="F24" s="9"/>
      <c r="G24" s="9"/>
      <c r="H24" s="9"/>
      <c r="I24" s="9"/>
      <c r="J24" s="9"/>
      <c r="K24" s="9"/>
      <c r="L24" s="10" t="str">
        <f t="shared" si="1"/>
        <v/>
      </c>
      <c r="M24" s="9"/>
      <c r="N24" s="9"/>
      <c r="O24" s="9"/>
      <c r="P24" s="9"/>
      <c r="Q24" s="9"/>
      <c r="R24" s="9"/>
      <c r="S24" s="9"/>
      <c r="T24" s="9"/>
      <c r="U24" s="9"/>
      <c r="V24" s="10" t="str">
        <f t="shared" si="2"/>
        <v/>
      </c>
      <c r="W24" s="11" t="str">
        <f t="shared" si="3"/>
        <v/>
      </c>
      <c r="X24" s="11" t="str">
        <f t="shared" si="4"/>
        <v/>
      </c>
      <c r="Y24"/>
      <c r="AB24" s="42"/>
      <c r="AC24" s="42"/>
      <c r="AD24" s="42" t="str">
        <f t="shared" si="0"/>
        <v/>
      </c>
    </row>
    <row r="25" spans="1:30" x14ac:dyDescent="0.25">
      <c r="A25" s="12"/>
      <c r="B25" s="13"/>
      <c r="C25" s="9"/>
      <c r="D25" s="9"/>
      <c r="E25" s="9"/>
      <c r="F25" s="9"/>
      <c r="G25" s="9"/>
      <c r="H25" s="9"/>
      <c r="I25" s="9"/>
      <c r="J25" s="9"/>
      <c r="K25" s="9"/>
      <c r="L25" s="10" t="str">
        <f t="shared" si="1"/>
        <v/>
      </c>
      <c r="M25" s="9"/>
      <c r="N25" s="9"/>
      <c r="O25" s="9"/>
      <c r="P25" s="9"/>
      <c r="Q25" s="9"/>
      <c r="R25" s="9"/>
      <c r="S25" s="9"/>
      <c r="T25" s="9"/>
      <c r="U25" s="9"/>
      <c r="V25" s="10" t="str">
        <f t="shared" si="2"/>
        <v/>
      </c>
      <c r="W25" s="11" t="str">
        <f t="shared" si="3"/>
        <v/>
      </c>
      <c r="X25" s="11" t="str">
        <f t="shared" si="4"/>
        <v/>
      </c>
      <c r="Y25"/>
      <c r="AB25" s="42"/>
      <c r="AC25" s="42"/>
      <c r="AD25" s="42" t="str">
        <f t="shared" si="0"/>
        <v/>
      </c>
    </row>
    <row r="26" spans="1:30" x14ac:dyDescent="0.25">
      <c r="A26" s="12"/>
      <c r="B26" s="13"/>
      <c r="C26" s="9"/>
      <c r="D26" s="9"/>
      <c r="E26" s="9"/>
      <c r="F26" s="9"/>
      <c r="G26" s="9"/>
      <c r="H26" s="9"/>
      <c r="I26" s="9"/>
      <c r="J26" s="9"/>
      <c r="K26" s="9"/>
      <c r="L26" s="10" t="str">
        <f t="shared" si="1"/>
        <v/>
      </c>
      <c r="M26" s="9"/>
      <c r="N26" s="9"/>
      <c r="O26" s="9"/>
      <c r="P26" s="9"/>
      <c r="Q26" s="9"/>
      <c r="R26" s="9"/>
      <c r="S26" s="9"/>
      <c r="T26" s="9"/>
      <c r="U26" s="9"/>
      <c r="V26" s="10" t="str">
        <f t="shared" si="2"/>
        <v/>
      </c>
      <c r="W26" s="11" t="str">
        <f t="shared" si="3"/>
        <v/>
      </c>
      <c r="X26" s="11" t="str">
        <f t="shared" si="4"/>
        <v/>
      </c>
      <c r="Y26"/>
      <c r="AB26" s="42"/>
      <c r="AC26" s="42"/>
      <c r="AD26" s="42" t="str">
        <f t="shared" si="0"/>
        <v/>
      </c>
    </row>
    <row r="27" spans="1:30" x14ac:dyDescent="0.25">
      <c r="A27" s="12"/>
      <c r="B27" s="13"/>
      <c r="C27" s="9"/>
      <c r="D27" s="9"/>
      <c r="E27" s="9"/>
      <c r="F27" s="9"/>
      <c r="G27" s="9"/>
      <c r="H27" s="9"/>
      <c r="I27" s="9"/>
      <c r="J27" s="9"/>
      <c r="K27" s="9"/>
      <c r="L27" s="10" t="str">
        <f t="shared" si="1"/>
        <v/>
      </c>
      <c r="M27" s="9"/>
      <c r="N27" s="9"/>
      <c r="O27" s="9"/>
      <c r="P27" s="9"/>
      <c r="Q27" s="9"/>
      <c r="R27" s="9"/>
      <c r="S27" s="9"/>
      <c r="T27" s="9"/>
      <c r="U27" s="9"/>
      <c r="V27" s="10" t="str">
        <f t="shared" si="2"/>
        <v/>
      </c>
      <c r="W27" s="11" t="str">
        <f t="shared" si="3"/>
        <v/>
      </c>
      <c r="X27" s="11" t="str">
        <f t="shared" si="4"/>
        <v/>
      </c>
      <c r="Y27"/>
      <c r="AB27" s="42"/>
      <c r="AC27" s="42"/>
      <c r="AD27" s="42" t="str">
        <f t="shared" si="0"/>
        <v/>
      </c>
    </row>
    <row r="28" spans="1:30" x14ac:dyDescent="0.25">
      <c r="A28" s="12"/>
      <c r="B28" s="13"/>
      <c r="C28" s="9"/>
      <c r="D28" s="9"/>
      <c r="E28" s="9"/>
      <c r="F28" s="9"/>
      <c r="G28" s="9"/>
      <c r="H28" s="9"/>
      <c r="I28" s="9"/>
      <c r="J28" s="9"/>
      <c r="K28" s="9"/>
      <c r="L28" s="10" t="str">
        <f t="shared" si="1"/>
        <v/>
      </c>
      <c r="M28" s="9"/>
      <c r="N28" s="9"/>
      <c r="O28" s="9"/>
      <c r="P28" s="9"/>
      <c r="Q28" s="9"/>
      <c r="R28" s="9"/>
      <c r="S28" s="9"/>
      <c r="T28" s="9"/>
      <c r="U28" s="9"/>
      <c r="V28" s="10" t="str">
        <f t="shared" si="2"/>
        <v/>
      </c>
      <c r="W28" s="11" t="str">
        <f t="shared" si="3"/>
        <v/>
      </c>
      <c r="X28" s="11" t="str">
        <f t="shared" si="4"/>
        <v/>
      </c>
      <c r="Y28"/>
      <c r="AB28" s="42"/>
      <c r="AC28" s="42"/>
      <c r="AD28" s="42" t="str">
        <f t="shared" si="0"/>
        <v/>
      </c>
    </row>
    <row r="29" spans="1:30" x14ac:dyDescent="0.25">
      <c r="A29" s="12"/>
      <c r="B29" s="13"/>
      <c r="C29" s="9"/>
      <c r="D29" s="9"/>
      <c r="E29" s="9"/>
      <c r="F29" s="9"/>
      <c r="G29" s="9"/>
      <c r="H29" s="9"/>
      <c r="I29" s="9"/>
      <c r="J29" s="9"/>
      <c r="K29" s="9"/>
      <c r="L29" s="10" t="str">
        <f t="shared" si="1"/>
        <v/>
      </c>
      <c r="M29" s="9"/>
      <c r="N29" s="9"/>
      <c r="O29" s="9"/>
      <c r="P29" s="9"/>
      <c r="Q29" s="9"/>
      <c r="R29" s="9"/>
      <c r="S29" s="9"/>
      <c r="T29" s="9"/>
      <c r="U29" s="9"/>
      <c r="V29" s="10" t="str">
        <f t="shared" si="2"/>
        <v/>
      </c>
      <c r="W29" s="11" t="str">
        <f t="shared" si="3"/>
        <v/>
      </c>
      <c r="X29" s="11" t="str">
        <f t="shared" si="4"/>
        <v/>
      </c>
      <c r="Y29"/>
      <c r="AB29" s="42"/>
      <c r="AC29" s="42"/>
      <c r="AD29" s="42" t="str">
        <f t="shared" si="0"/>
        <v/>
      </c>
    </row>
    <row r="30" spans="1:30" x14ac:dyDescent="0.25">
      <c r="A30" s="12"/>
      <c r="B30" s="13"/>
      <c r="C30" s="9"/>
      <c r="D30" s="9"/>
      <c r="E30" s="9"/>
      <c r="F30" s="9"/>
      <c r="G30" s="9"/>
      <c r="H30" s="9"/>
      <c r="I30" s="9"/>
      <c r="J30" s="9"/>
      <c r="K30" s="9"/>
      <c r="L30" s="10" t="str">
        <f t="shared" si="1"/>
        <v/>
      </c>
      <c r="M30" s="9"/>
      <c r="N30" s="9"/>
      <c r="O30" s="9"/>
      <c r="P30" s="9"/>
      <c r="Q30" s="9"/>
      <c r="R30" s="9"/>
      <c r="S30" s="9"/>
      <c r="T30" s="9"/>
      <c r="U30" s="9"/>
      <c r="V30" s="10" t="str">
        <f t="shared" si="2"/>
        <v/>
      </c>
      <c r="W30" s="11" t="str">
        <f t="shared" si="3"/>
        <v/>
      </c>
      <c r="X30" s="11" t="str">
        <f t="shared" si="4"/>
        <v/>
      </c>
      <c r="Y30"/>
      <c r="AB30" s="42"/>
      <c r="AC30" s="42"/>
      <c r="AD30" s="42" t="str">
        <f t="shared" si="0"/>
        <v/>
      </c>
    </row>
    <row r="31" spans="1:30" x14ac:dyDescent="0.25">
      <c r="A31" s="12"/>
      <c r="B31" s="13"/>
      <c r="C31" s="9"/>
      <c r="D31" s="9"/>
      <c r="E31" s="9"/>
      <c r="F31" s="9"/>
      <c r="G31" s="9"/>
      <c r="H31" s="9"/>
      <c r="I31" s="9"/>
      <c r="J31" s="9"/>
      <c r="K31" s="9"/>
      <c r="L31" s="10" t="str">
        <f t="shared" si="1"/>
        <v/>
      </c>
      <c r="M31" s="9"/>
      <c r="N31" s="9"/>
      <c r="O31" s="9"/>
      <c r="P31" s="9"/>
      <c r="Q31" s="9"/>
      <c r="R31" s="9"/>
      <c r="S31" s="9"/>
      <c r="T31" s="9"/>
      <c r="U31" s="9"/>
      <c r="V31" s="10" t="str">
        <f t="shared" si="2"/>
        <v/>
      </c>
      <c r="W31" s="11" t="str">
        <f t="shared" si="3"/>
        <v/>
      </c>
      <c r="X31" s="11" t="str">
        <f t="shared" si="4"/>
        <v/>
      </c>
      <c r="Y31"/>
      <c r="AB31" s="42"/>
      <c r="AC31" s="42"/>
      <c r="AD31" s="42" t="str">
        <f t="shared" si="0"/>
        <v/>
      </c>
    </row>
    <row r="32" spans="1:30" x14ac:dyDescent="0.25">
      <c r="A32" s="12"/>
      <c r="B32" s="13"/>
      <c r="C32" s="9"/>
      <c r="D32" s="9"/>
      <c r="E32" s="9"/>
      <c r="F32" s="9"/>
      <c r="G32" s="9"/>
      <c r="H32" s="9"/>
      <c r="I32" s="9"/>
      <c r="J32" s="9"/>
      <c r="K32" s="9"/>
      <c r="L32" s="10" t="str">
        <f t="shared" si="1"/>
        <v/>
      </c>
      <c r="M32" s="9"/>
      <c r="N32" s="9"/>
      <c r="O32" s="9"/>
      <c r="P32" s="9"/>
      <c r="Q32" s="9"/>
      <c r="R32" s="9"/>
      <c r="S32" s="9"/>
      <c r="T32" s="9"/>
      <c r="U32" s="9"/>
      <c r="V32" s="10" t="str">
        <f t="shared" si="2"/>
        <v/>
      </c>
      <c r="W32" s="11" t="str">
        <f t="shared" si="3"/>
        <v/>
      </c>
      <c r="X32" s="11" t="str">
        <f t="shared" si="4"/>
        <v/>
      </c>
      <c r="Y32"/>
      <c r="AB32" s="42"/>
      <c r="AC32" s="42"/>
      <c r="AD32" s="42" t="str">
        <f t="shared" si="0"/>
        <v/>
      </c>
    </row>
    <row r="33" spans="1:30" x14ac:dyDescent="0.25">
      <c r="A33" s="12"/>
      <c r="B33" s="13"/>
      <c r="C33" s="9"/>
      <c r="D33" s="9"/>
      <c r="E33" s="9"/>
      <c r="F33" s="9"/>
      <c r="G33" s="9"/>
      <c r="H33" s="9"/>
      <c r="I33" s="9"/>
      <c r="J33" s="9"/>
      <c r="K33" s="9"/>
      <c r="L33" s="10" t="str">
        <f t="shared" si="1"/>
        <v/>
      </c>
      <c r="M33" s="9"/>
      <c r="N33" s="9"/>
      <c r="O33" s="9"/>
      <c r="P33" s="9"/>
      <c r="Q33" s="9"/>
      <c r="R33" s="9"/>
      <c r="S33" s="9"/>
      <c r="T33" s="9"/>
      <c r="U33" s="9"/>
      <c r="V33" s="10" t="str">
        <f t="shared" si="2"/>
        <v/>
      </c>
      <c r="W33" s="11" t="str">
        <f t="shared" si="3"/>
        <v/>
      </c>
      <c r="X33" s="11" t="str">
        <f t="shared" si="4"/>
        <v/>
      </c>
      <c r="Y33"/>
      <c r="AB33" s="42"/>
      <c r="AC33" s="42"/>
      <c r="AD33" s="42" t="str">
        <f t="shared" si="0"/>
        <v/>
      </c>
    </row>
    <row r="34" spans="1:30" x14ac:dyDescent="0.25">
      <c r="A34" s="12"/>
      <c r="B34" s="13"/>
      <c r="C34" s="9"/>
      <c r="D34" s="9"/>
      <c r="E34" s="9"/>
      <c r="F34" s="9"/>
      <c r="G34" s="9"/>
      <c r="H34" s="9"/>
      <c r="I34" s="9"/>
      <c r="J34" s="9"/>
      <c r="K34" s="9"/>
      <c r="L34" s="10" t="str">
        <f t="shared" si="1"/>
        <v/>
      </c>
      <c r="M34" s="9"/>
      <c r="N34" s="9"/>
      <c r="O34" s="9"/>
      <c r="P34" s="9"/>
      <c r="Q34" s="9"/>
      <c r="R34" s="9"/>
      <c r="S34" s="9"/>
      <c r="T34" s="9"/>
      <c r="U34" s="9"/>
      <c r="V34" s="10" t="str">
        <f t="shared" si="2"/>
        <v/>
      </c>
      <c r="W34" s="11" t="str">
        <f t="shared" si="3"/>
        <v/>
      </c>
      <c r="X34" s="11" t="str">
        <f t="shared" si="4"/>
        <v/>
      </c>
      <c r="Y34"/>
      <c r="AB34" s="42"/>
      <c r="AC34" s="42"/>
      <c r="AD34" s="42" t="str">
        <f t="shared" si="0"/>
        <v/>
      </c>
    </row>
    <row r="35" spans="1:30" x14ac:dyDescent="0.25">
      <c r="A35" s="12"/>
      <c r="B35" s="13"/>
      <c r="C35" s="9"/>
      <c r="D35" s="9"/>
      <c r="E35" s="9"/>
      <c r="F35" s="9"/>
      <c r="G35" s="9"/>
      <c r="H35" s="9"/>
      <c r="I35" s="9"/>
      <c r="J35" s="9"/>
      <c r="K35" s="9"/>
      <c r="L35" s="10" t="str">
        <f t="shared" si="1"/>
        <v/>
      </c>
      <c r="M35" s="9"/>
      <c r="N35" s="9"/>
      <c r="O35" s="9"/>
      <c r="P35" s="9"/>
      <c r="Q35" s="9"/>
      <c r="R35" s="9"/>
      <c r="S35" s="9"/>
      <c r="T35" s="9"/>
      <c r="U35" s="9"/>
      <c r="V35" s="10" t="str">
        <f t="shared" si="2"/>
        <v/>
      </c>
      <c r="W35" s="11" t="str">
        <f t="shared" si="3"/>
        <v/>
      </c>
      <c r="X35" s="11" t="str">
        <f t="shared" si="4"/>
        <v/>
      </c>
      <c r="Y35"/>
      <c r="AB35" s="42"/>
      <c r="AC35" s="42"/>
      <c r="AD35" s="42" t="str">
        <f t="shared" si="0"/>
        <v/>
      </c>
    </row>
    <row r="36" spans="1:30" x14ac:dyDescent="0.25">
      <c r="A36" s="12"/>
      <c r="B36" s="13"/>
      <c r="C36" s="9"/>
      <c r="D36" s="9"/>
      <c r="E36" s="9"/>
      <c r="F36" s="9"/>
      <c r="G36" s="9"/>
      <c r="H36" s="9"/>
      <c r="I36" s="9"/>
      <c r="J36" s="9"/>
      <c r="K36" s="9"/>
      <c r="L36" s="10" t="str">
        <f t="shared" si="1"/>
        <v/>
      </c>
      <c r="M36" s="9"/>
      <c r="N36" s="9"/>
      <c r="O36" s="9"/>
      <c r="P36" s="9"/>
      <c r="Q36" s="9"/>
      <c r="R36" s="9"/>
      <c r="S36" s="9"/>
      <c r="T36" s="9"/>
      <c r="U36" s="9"/>
      <c r="V36" s="10" t="str">
        <f t="shared" si="2"/>
        <v/>
      </c>
      <c r="W36" s="11" t="str">
        <f t="shared" si="3"/>
        <v/>
      </c>
      <c r="X36" s="11" t="str">
        <f t="shared" si="4"/>
        <v/>
      </c>
      <c r="Y36"/>
      <c r="AB36" s="42"/>
      <c r="AC36" s="42"/>
      <c r="AD36" s="42" t="str">
        <f t="shared" si="0"/>
        <v/>
      </c>
    </row>
    <row r="37" spans="1:30" x14ac:dyDescent="0.25">
      <c r="A37" s="12"/>
      <c r="B37" s="13"/>
      <c r="C37" s="9"/>
      <c r="D37" s="9"/>
      <c r="E37" s="9"/>
      <c r="F37" s="9"/>
      <c r="G37" s="9"/>
      <c r="H37" s="9"/>
      <c r="I37" s="9"/>
      <c r="J37" s="9"/>
      <c r="K37" s="9"/>
      <c r="L37" s="10" t="str">
        <f t="shared" si="1"/>
        <v/>
      </c>
      <c r="M37" s="9"/>
      <c r="N37" s="9"/>
      <c r="O37" s="9"/>
      <c r="P37" s="9"/>
      <c r="Q37" s="9"/>
      <c r="R37" s="9"/>
      <c r="S37" s="9"/>
      <c r="T37" s="9"/>
      <c r="U37" s="9"/>
      <c r="V37" s="10" t="str">
        <f t="shared" si="2"/>
        <v/>
      </c>
      <c r="W37" s="11" t="str">
        <f t="shared" si="3"/>
        <v/>
      </c>
      <c r="X37" s="11" t="str">
        <f t="shared" si="4"/>
        <v/>
      </c>
      <c r="Y37"/>
      <c r="AB37" s="42"/>
      <c r="AC37" s="42"/>
      <c r="AD37" s="42" t="str">
        <f t="shared" si="0"/>
        <v/>
      </c>
    </row>
    <row r="38" spans="1:30" x14ac:dyDescent="0.25">
      <c r="A38" s="12"/>
      <c r="B38" s="13"/>
      <c r="C38" s="9"/>
      <c r="D38" s="9"/>
      <c r="E38" s="9"/>
      <c r="F38" s="9"/>
      <c r="G38" s="9"/>
      <c r="H38" s="9"/>
      <c r="I38" s="9"/>
      <c r="J38" s="9"/>
      <c r="K38" s="9"/>
      <c r="L38" s="10" t="str">
        <f t="shared" si="1"/>
        <v/>
      </c>
      <c r="M38" s="9"/>
      <c r="N38" s="9"/>
      <c r="O38" s="9"/>
      <c r="P38" s="9"/>
      <c r="Q38" s="9"/>
      <c r="R38" s="9"/>
      <c r="S38" s="9"/>
      <c r="T38" s="9"/>
      <c r="U38" s="9"/>
      <c r="V38" s="10" t="str">
        <f t="shared" si="2"/>
        <v/>
      </c>
      <c r="W38" s="11" t="str">
        <f t="shared" si="3"/>
        <v/>
      </c>
      <c r="X38" s="11" t="str">
        <f t="shared" si="4"/>
        <v/>
      </c>
      <c r="Y38"/>
      <c r="AB38" s="42"/>
      <c r="AC38" s="42"/>
      <c r="AD38" s="42" t="str">
        <f t="shared" si="0"/>
        <v/>
      </c>
    </row>
    <row r="39" spans="1:30" x14ac:dyDescent="0.25">
      <c r="A39" s="12"/>
      <c r="B39" s="13"/>
      <c r="C39" s="9"/>
      <c r="D39" s="9"/>
      <c r="E39" s="9"/>
      <c r="F39" s="9"/>
      <c r="G39" s="9"/>
      <c r="H39" s="9"/>
      <c r="I39" s="9"/>
      <c r="J39" s="9"/>
      <c r="K39" s="9"/>
      <c r="L39" s="10" t="str">
        <f t="shared" si="1"/>
        <v/>
      </c>
      <c r="M39" s="9"/>
      <c r="N39" s="9"/>
      <c r="O39" s="9"/>
      <c r="P39" s="9"/>
      <c r="Q39" s="9"/>
      <c r="R39" s="9"/>
      <c r="S39" s="9"/>
      <c r="T39" s="9"/>
      <c r="U39" s="9"/>
      <c r="V39" s="10" t="str">
        <f t="shared" si="2"/>
        <v/>
      </c>
      <c r="W39" s="11" t="str">
        <f t="shared" si="3"/>
        <v/>
      </c>
      <c r="X39" s="11" t="str">
        <f t="shared" si="4"/>
        <v/>
      </c>
      <c r="Y39"/>
      <c r="AB39" s="42"/>
      <c r="AC39" s="42"/>
      <c r="AD39" s="42" t="str">
        <f t="shared" si="0"/>
        <v/>
      </c>
    </row>
    <row r="40" spans="1:30" x14ac:dyDescent="0.25">
      <c r="A40" s="12"/>
      <c r="B40" s="13"/>
      <c r="C40" s="9"/>
      <c r="D40" s="9"/>
      <c r="E40" s="9"/>
      <c r="F40" s="9"/>
      <c r="G40" s="9"/>
      <c r="H40" s="9"/>
      <c r="I40" s="9"/>
      <c r="J40" s="9"/>
      <c r="K40" s="9"/>
      <c r="L40" s="10" t="str">
        <f t="shared" si="1"/>
        <v/>
      </c>
      <c r="M40" s="9"/>
      <c r="N40" s="9"/>
      <c r="O40" s="9"/>
      <c r="P40" s="9"/>
      <c r="Q40" s="9"/>
      <c r="R40" s="9"/>
      <c r="S40" s="9"/>
      <c r="T40" s="9"/>
      <c r="U40" s="9"/>
      <c r="V40" s="10" t="str">
        <f t="shared" si="2"/>
        <v/>
      </c>
      <c r="W40" s="11" t="str">
        <f t="shared" si="3"/>
        <v/>
      </c>
      <c r="X40" s="11" t="str">
        <f t="shared" si="4"/>
        <v/>
      </c>
      <c r="Y40"/>
      <c r="AB40" s="42"/>
      <c r="AC40" s="42"/>
      <c r="AD40" s="42" t="str">
        <f t="shared" si="0"/>
        <v/>
      </c>
    </row>
    <row r="41" spans="1:30" x14ac:dyDescent="0.25">
      <c r="A41" s="12"/>
      <c r="B41" s="13"/>
      <c r="C41" s="9"/>
      <c r="D41" s="9"/>
      <c r="E41" s="9"/>
      <c r="F41" s="9"/>
      <c r="G41" s="9"/>
      <c r="H41" s="9"/>
      <c r="I41" s="9"/>
      <c r="J41" s="9"/>
      <c r="K41" s="9"/>
      <c r="L41" s="10" t="str">
        <f t="shared" si="1"/>
        <v/>
      </c>
      <c r="M41" s="9"/>
      <c r="N41" s="9"/>
      <c r="O41" s="9"/>
      <c r="P41" s="9"/>
      <c r="Q41" s="9"/>
      <c r="R41" s="9"/>
      <c r="S41" s="9"/>
      <c r="T41" s="9"/>
      <c r="U41" s="9"/>
      <c r="V41" s="10" t="str">
        <f t="shared" si="2"/>
        <v/>
      </c>
      <c r="W41" s="11" t="str">
        <f t="shared" si="3"/>
        <v/>
      </c>
      <c r="X41" s="11" t="str">
        <f t="shared" si="4"/>
        <v/>
      </c>
      <c r="Y41"/>
      <c r="AB41" s="42"/>
      <c r="AC41" s="42"/>
      <c r="AD41" s="42" t="str">
        <f t="shared" si="0"/>
        <v/>
      </c>
    </row>
    <row r="42" spans="1:30" x14ac:dyDescent="0.25">
      <c r="A42" s="12"/>
      <c r="B42" s="13"/>
      <c r="C42" s="9"/>
      <c r="D42" s="9"/>
      <c r="E42" s="9"/>
      <c r="F42" s="9"/>
      <c r="G42" s="9"/>
      <c r="H42" s="9"/>
      <c r="I42" s="9"/>
      <c r="J42" s="9"/>
      <c r="K42" s="9"/>
      <c r="L42" s="10" t="str">
        <f t="shared" si="1"/>
        <v/>
      </c>
      <c r="M42" s="9"/>
      <c r="N42" s="9"/>
      <c r="O42" s="9"/>
      <c r="P42" s="9"/>
      <c r="Q42" s="9"/>
      <c r="R42" s="9"/>
      <c r="S42" s="9"/>
      <c r="T42" s="9"/>
      <c r="U42" s="9"/>
      <c r="V42" s="10" t="str">
        <f t="shared" si="2"/>
        <v/>
      </c>
      <c r="W42" s="11" t="str">
        <f t="shared" si="3"/>
        <v/>
      </c>
      <c r="X42" s="11" t="str">
        <f t="shared" si="4"/>
        <v/>
      </c>
      <c r="Y42"/>
      <c r="AB42" s="42"/>
      <c r="AC42" s="42"/>
      <c r="AD42" s="42" t="str">
        <f t="shared" si="0"/>
        <v/>
      </c>
    </row>
    <row r="43" spans="1:30" x14ac:dyDescent="0.25">
      <c r="A43" s="12"/>
      <c r="B43" s="13"/>
      <c r="C43" s="9"/>
      <c r="D43" s="9"/>
      <c r="E43" s="9"/>
      <c r="F43" s="9"/>
      <c r="G43" s="9"/>
      <c r="H43" s="9"/>
      <c r="I43" s="9"/>
      <c r="J43" s="9"/>
      <c r="K43" s="9"/>
      <c r="L43" s="10" t="str">
        <f t="shared" ref="L43:L60" si="5">IF(C43&lt;&gt;"",SUM(C43:K43),"")</f>
        <v/>
      </c>
      <c r="M43" s="9"/>
      <c r="N43" s="9"/>
      <c r="O43" s="9"/>
      <c r="P43" s="9"/>
      <c r="Q43" s="9"/>
      <c r="R43" s="9"/>
      <c r="S43" s="9"/>
      <c r="T43" s="9"/>
      <c r="U43" s="9"/>
      <c r="V43" s="10" t="str">
        <f t="shared" ref="V43:V60" si="6">IF(M43&lt;&gt;"",SUM(M43:U43),"")</f>
        <v/>
      </c>
      <c r="W43" s="11" t="str">
        <f t="shared" ref="W43:W60" si="7">IF(L43&lt;&gt;"",IF(M43="",(L43*2+(LOOKUP(B43,AB:AB,AD:AD)))+72,L43+V43+72+LOOKUP(B43,AB:AB,AD:AD)),"")</f>
        <v/>
      </c>
      <c r="X43" s="11" t="str">
        <f t="shared" si="4"/>
        <v/>
      </c>
      <c r="Y43"/>
      <c r="AB43" s="42"/>
      <c r="AC43" s="42"/>
      <c r="AD43" s="42" t="str">
        <f t="shared" si="0"/>
        <v/>
      </c>
    </row>
    <row r="44" spans="1:30" x14ac:dyDescent="0.25">
      <c r="A44" s="12"/>
      <c r="B44" s="13"/>
      <c r="C44" s="9"/>
      <c r="D44" s="9"/>
      <c r="E44" s="9"/>
      <c r="F44" s="9"/>
      <c r="G44" s="9"/>
      <c r="H44" s="9"/>
      <c r="I44" s="9"/>
      <c r="J44" s="9"/>
      <c r="K44" s="9"/>
      <c r="L44" s="10" t="str">
        <f t="shared" si="5"/>
        <v/>
      </c>
      <c r="M44" s="9"/>
      <c r="N44" s="9"/>
      <c r="O44" s="9"/>
      <c r="P44" s="9"/>
      <c r="Q44" s="9"/>
      <c r="R44" s="9"/>
      <c r="S44" s="9"/>
      <c r="T44" s="9"/>
      <c r="U44" s="9"/>
      <c r="V44" s="10" t="str">
        <f t="shared" si="6"/>
        <v/>
      </c>
      <c r="W44" s="11" t="str">
        <f t="shared" si="7"/>
        <v/>
      </c>
      <c r="X44" s="11" t="str">
        <f t="shared" si="4"/>
        <v/>
      </c>
      <c r="Y44"/>
      <c r="AB44" s="42"/>
      <c r="AC44" s="42"/>
      <c r="AD44" s="42" t="str">
        <f t="shared" si="0"/>
        <v/>
      </c>
    </row>
    <row r="45" spans="1:30" x14ac:dyDescent="0.25">
      <c r="A45" s="12"/>
      <c r="B45" s="13"/>
      <c r="C45" s="9"/>
      <c r="D45" s="9"/>
      <c r="E45" s="9"/>
      <c r="F45" s="9"/>
      <c r="G45" s="9"/>
      <c r="H45" s="9"/>
      <c r="I45" s="9"/>
      <c r="J45" s="9"/>
      <c r="K45" s="9"/>
      <c r="L45" s="10" t="str">
        <f t="shared" si="5"/>
        <v/>
      </c>
      <c r="M45" s="9"/>
      <c r="N45" s="9"/>
      <c r="O45" s="9"/>
      <c r="P45" s="9"/>
      <c r="Q45" s="9"/>
      <c r="R45" s="9"/>
      <c r="S45" s="9"/>
      <c r="T45" s="9"/>
      <c r="U45" s="9"/>
      <c r="V45" s="10" t="str">
        <f t="shared" si="6"/>
        <v/>
      </c>
      <c r="W45" s="11" t="str">
        <f t="shared" si="7"/>
        <v/>
      </c>
      <c r="X45" s="11" t="str">
        <f t="shared" si="4"/>
        <v/>
      </c>
      <c r="Y45"/>
      <c r="AB45" s="42"/>
      <c r="AC45" s="42"/>
      <c r="AD45" s="42" t="str">
        <f t="shared" si="0"/>
        <v/>
      </c>
    </row>
    <row r="46" spans="1:30" x14ac:dyDescent="0.25">
      <c r="A46" s="12"/>
      <c r="B46" s="13"/>
      <c r="C46" s="9"/>
      <c r="D46" s="9"/>
      <c r="E46" s="9"/>
      <c r="F46" s="9"/>
      <c r="G46" s="9"/>
      <c r="H46" s="9"/>
      <c r="I46" s="9"/>
      <c r="J46" s="9"/>
      <c r="K46" s="9"/>
      <c r="L46" s="10" t="str">
        <f t="shared" si="5"/>
        <v/>
      </c>
      <c r="M46" s="9"/>
      <c r="N46" s="9"/>
      <c r="O46" s="9"/>
      <c r="P46" s="9"/>
      <c r="Q46" s="9"/>
      <c r="R46" s="9"/>
      <c r="S46" s="9"/>
      <c r="T46" s="9"/>
      <c r="U46" s="9"/>
      <c r="V46" s="10" t="str">
        <f t="shared" si="6"/>
        <v/>
      </c>
      <c r="W46" s="11" t="str">
        <f t="shared" si="7"/>
        <v/>
      </c>
      <c r="X46" s="11" t="str">
        <f t="shared" si="4"/>
        <v/>
      </c>
      <c r="Y46"/>
      <c r="AB46" s="42"/>
      <c r="AC46" s="42"/>
      <c r="AD46" s="42" t="str">
        <f t="shared" si="0"/>
        <v/>
      </c>
    </row>
    <row r="47" spans="1:30" x14ac:dyDescent="0.25">
      <c r="A47" s="12"/>
      <c r="B47" s="13"/>
      <c r="C47" s="9"/>
      <c r="D47" s="9"/>
      <c r="E47" s="9"/>
      <c r="F47" s="9"/>
      <c r="G47" s="9"/>
      <c r="H47" s="9"/>
      <c r="I47" s="9"/>
      <c r="J47" s="9"/>
      <c r="K47" s="9"/>
      <c r="L47" s="10" t="str">
        <f t="shared" si="5"/>
        <v/>
      </c>
      <c r="M47" s="9"/>
      <c r="N47" s="9"/>
      <c r="O47" s="9"/>
      <c r="P47" s="9"/>
      <c r="Q47" s="9"/>
      <c r="R47" s="9"/>
      <c r="S47" s="9"/>
      <c r="T47" s="9"/>
      <c r="U47" s="9"/>
      <c r="V47" s="10" t="str">
        <f t="shared" si="6"/>
        <v/>
      </c>
      <c r="W47" s="11" t="str">
        <f t="shared" si="7"/>
        <v/>
      </c>
      <c r="X47" s="11" t="str">
        <f t="shared" si="4"/>
        <v/>
      </c>
      <c r="Y47"/>
      <c r="AB47" s="42"/>
      <c r="AC47" s="42"/>
      <c r="AD47" s="42" t="str">
        <f t="shared" si="0"/>
        <v/>
      </c>
    </row>
    <row r="48" spans="1:30" x14ac:dyDescent="0.25">
      <c r="A48" s="12"/>
      <c r="B48" s="13"/>
      <c r="C48" s="9"/>
      <c r="D48" s="9"/>
      <c r="E48" s="9"/>
      <c r="F48" s="9"/>
      <c r="G48" s="9"/>
      <c r="H48" s="9"/>
      <c r="I48" s="9"/>
      <c r="J48" s="9"/>
      <c r="K48" s="9"/>
      <c r="L48" s="10" t="str">
        <f t="shared" si="5"/>
        <v/>
      </c>
      <c r="M48" s="9"/>
      <c r="N48" s="9"/>
      <c r="O48" s="9"/>
      <c r="P48" s="9"/>
      <c r="Q48" s="9"/>
      <c r="R48" s="9"/>
      <c r="S48" s="9"/>
      <c r="T48" s="9"/>
      <c r="U48" s="9"/>
      <c r="V48" s="10" t="str">
        <f t="shared" si="6"/>
        <v/>
      </c>
      <c r="W48" s="11" t="str">
        <f t="shared" si="7"/>
        <v/>
      </c>
      <c r="X48" s="11" t="str">
        <f t="shared" si="4"/>
        <v/>
      </c>
      <c r="Y48"/>
      <c r="AB48" s="42"/>
      <c r="AC48" s="42"/>
      <c r="AD48" s="42" t="str">
        <f t="shared" si="0"/>
        <v/>
      </c>
    </row>
    <row r="49" spans="1:30" x14ac:dyDescent="0.25">
      <c r="A49" s="12"/>
      <c r="B49" s="13"/>
      <c r="C49" s="9"/>
      <c r="D49" s="9"/>
      <c r="E49" s="9"/>
      <c r="F49" s="9"/>
      <c r="G49" s="9"/>
      <c r="H49" s="9"/>
      <c r="I49" s="9"/>
      <c r="J49" s="9"/>
      <c r="K49" s="9"/>
      <c r="L49" s="10" t="str">
        <f t="shared" si="5"/>
        <v/>
      </c>
      <c r="M49" s="9"/>
      <c r="N49" s="9"/>
      <c r="O49" s="9"/>
      <c r="P49" s="9"/>
      <c r="Q49" s="9"/>
      <c r="R49" s="9"/>
      <c r="S49" s="9"/>
      <c r="T49" s="9"/>
      <c r="U49" s="9"/>
      <c r="V49" s="10" t="str">
        <f t="shared" si="6"/>
        <v/>
      </c>
      <c r="W49" s="11" t="str">
        <f t="shared" si="7"/>
        <v/>
      </c>
      <c r="X49" s="11" t="str">
        <f t="shared" si="4"/>
        <v/>
      </c>
      <c r="Y49"/>
      <c r="AB49" s="42"/>
      <c r="AC49" s="42"/>
      <c r="AD49" s="42" t="str">
        <f t="shared" si="0"/>
        <v/>
      </c>
    </row>
    <row r="50" spans="1:30" x14ac:dyDescent="0.25">
      <c r="A50" s="12"/>
      <c r="B50" s="13"/>
      <c r="C50" s="9"/>
      <c r="D50" s="9"/>
      <c r="E50" s="9"/>
      <c r="F50" s="9"/>
      <c r="G50" s="9"/>
      <c r="H50" s="9"/>
      <c r="I50" s="9"/>
      <c r="J50" s="9"/>
      <c r="K50" s="9"/>
      <c r="L50" s="10" t="str">
        <f t="shared" si="5"/>
        <v/>
      </c>
      <c r="M50" s="9"/>
      <c r="N50" s="9"/>
      <c r="O50" s="9"/>
      <c r="P50" s="9"/>
      <c r="Q50" s="9"/>
      <c r="R50" s="9"/>
      <c r="S50" s="9"/>
      <c r="T50" s="9"/>
      <c r="U50" s="9"/>
      <c r="V50" s="10" t="str">
        <f t="shared" si="6"/>
        <v/>
      </c>
      <c r="W50" s="11" t="str">
        <f t="shared" si="7"/>
        <v/>
      </c>
      <c r="X50" s="11" t="str">
        <f t="shared" si="4"/>
        <v/>
      </c>
      <c r="Y50"/>
      <c r="AB50" s="42"/>
      <c r="AC50" s="42"/>
      <c r="AD50" s="42" t="str">
        <f t="shared" si="0"/>
        <v/>
      </c>
    </row>
    <row r="51" spans="1:30" x14ac:dyDescent="0.25">
      <c r="A51" s="12"/>
      <c r="B51" s="13"/>
      <c r="C51" s="9"/>
      <c r="D51" s="9"/>
      <c r="E51" s="9"/>
      <c r="F51" s="9"/>
      <c r="G51" s="9"/>
      <c r="H51" s="9"/>
      <c r="I51" s="9"/>
      <c r="J51" s="9"/>
      <c r="K51" s="9"/>
      <c r="L51" s="10" t="str">
        <f t="shared" si="5"/>
        <v/>
      </c>
      <c r="M51" s="9"/>
      <c r="N51" s="9"/>
      <c r="O51" s="9"/>
      <c r="P51" s="9"/>
      <c r="Q51" s="9"/>
      <c r="R51" s="9"/>
      <c r="S51" s="9"/>
      <c r="T51" s="9"/>
      <c r="U51" s="9"/>
      <c r="V51" s="10" t="str">
        <f t="shared" si="6"/>
        <v/>
      </c>
      <c r="W51" s="11" t="str">
        <f t="shared" si="7"/>
        <v/>
      </c>
      <c r="X51" s="11" t="str">
        <f t="shared" si="4"/>
        <v/>
      </c>
      <c r="Y51"/>
      <c r="AB51" s="42"/>
      <c r="AC51" s="42"/>
      <c r="AD51" s="42" t="str">
        <f t="shared" si="0"/>
        <v/>
      </c>
    </row>
    <row r="52" spans="1:30" x14ac:dyDescent="0.25">
      <c r="A52" s="12"/>
      <c r="B52" s="13"/>
      <c r="C52" s="9"/>
      <c r="D52" s="9"/>
      <c r="E52" s="9"/>
      <c r="F52" s="9"/>
      <c r="G52" s="9"/>
      <c r="H52" s="9"/>
      <c r="I52" s="9"/>
      <c r="J52" s="9"/>
      <c r="K52" s="9"/>
      <c r="L52" s="10" t="str">
        <f t="shared" si="5"/>
        <v/>
      </c>
      <c r="M52" s="9"/>
      <c r="N52" s="9"/>
      <c r="O52" s="9"/>
      <c r="P52" s="9"/>
      <c r="Q52" s="9"/>
      <c r="R52" s="9"/>
      <c r="S52" s="9"/>
      <c r="T52" s="9"/>
      <c r="U52" s="9"/>
      <c r="V52" s="10" t="str">
        <f t="shared" si="6"/>
        <v/>
      </c>
      <c r="W52" s="11" t="str">
        <f t="shared" si="7"/>
        <v/>
      </c>
      <c r="X52" s="11" t="str">
        <f t="shared" si="4"/>
        <v/>
      </c>
      <c r="Y52"/>
      <c r="AB52" s="42"/>
      <c r="AC52" s="42"/>
      <c r="AD52" s="42" t="str">
        <f t="shared" si="0"/>
        <v/>
      </c>
    </row>
    <row r="53" spans="1:30" x14ac:dyDescent="0.25">
      <c r="A53" s="12"/>
      <c r="B53" s="13"/>
      <c r="C53" s="9"/>
      <c r="D53" s="9"/>
      <c r="E53" s="9"/>
      <c r="F53" s="9"/>
      <c r="G53" s="9"/>
      <c r="H53" s="9"/>
      <c r="I53" s="9"/>
      <c r="J53" s="9"/>
      <c r="K53" s="9"/>
      <c r="L53" s="10" t="str">
        <f t="shared" si="5"/>
        <v/>
      </c>
      <c r="M53" s="9"/>
      <c r="N53" s="9"/>
      <c r="O53" s="9"/>
      <c r="P53" s="9"/>
      <c r="Q53" s="9"/>
      <c r="R53" s="9"/>
      <c r="S53" s="9"/>
      <c r="T53" s="9"/>
      <c r="U53" s="9"/>
      <c r="V53" s="10" t="str">
        <f t="shared" si="6"/>
        <v/>
      </c>
      <c r="W53" s="11" t="str">
        <f t="shared" si="7"/>
        <v/>
      </c>
      <c r="X53" s="11" t="str">
        <f t="shared" si="4"/>
        <v/>
      </c>
      <c r="Y53"/>
      <c r="AB53" s="42"/>
      <c r="AC53" s="42"/>
      <c r="AD53" s="42" t="str">
        <f t="shared" si="0"/>
        <v/>
      </c>
    </row>
    <row r="54" spans="1:30" x14ac:dyDescent="0.25">
      <c r="A54" s="12"/>
      <c r="B54" s="13"/>
      <c r="C54" s="9"/>
      <c r="D54" s="9"/>
      <c r="E54" s="9"/>
      <c r="F54" s="9"/>
      <c r="G54" s="9"/>
      <c r="H54" s="9"/>
      <c r="I54" s="9"/>
      <c r="J54" s="9"/>
      <c r="K54" s="9"/>
      <c r="L54" s="10" t="str">
        <f t="shared" si="5"/>
        <v/>
      </c>
      <c r="M54" s="9"/>
      <c r="N54" s="9"/>
      <c r="O54" s="9"/>
      <c r="P54" s="9"/>
      <c r="Q54" s="9"/>
      <c r="R54" s="9"/>
      <c r="S54" s="9"/>
      <c r="T54" s="9"/>
      <c r="U54" s="9"/>
      <c r="V54" s="10" t="str">
        <f t="shared" si="6"/>
        <v/>
      </c>
      <c r="W54" s="11" t="str">
        <f t="shared" si="7"/>
        <v/>
      </c>
      <c r="X54" s="11" t="str">
        <f t="shared" si="4"/>
        <v/>
      </c>
      <c r="Y54"/>
      <c r="AB54" s="42"/>
      <c r="AC54" s="42"/>
      <c r="AD54" s="42" t="str">
        <f t="shared" si="0"/>
        <v/>
      </c>
    </row>
    <row r="55" spans="1:30" x14ac:dyDescent="0.25">
      <c r="A55" s="12"/>
      <c r="B55" s="13"/>
      <c r="C55" s="9"/>
      <c r="D55" s="9"/>
      <c r="E55" s="9"/>
      <c r="F55" s="9"/>
      <c r="G55" s="9"/>
      <c r="H55" s="9"/>
      <c r="I55" s="9"/>
      <c r="J55" s="9"/>
      <c r="K55" s="9"/>
      <c r="L55" s="10" t="str">
        <f t="shared" si="5"/>
        <v/>
      </c>
      <c r="M55" s="9"/>
      <c r="N55" s="9"/>
      <c r="O55" s="9"/>
      <c r="P55" s="9"/>
      <c r="Q55" s="9"/>
      <c r="R55" s="9"/>
      <c r="S55" s="9"/>
      <c r="T55" s="9"/>
      <c r="U55" s="9"/>
      <c r="V55" s="10" t="str">
        <f t="shared" si="6"/>
        <v/>
      </c>
      <c r="W55" s="11" t="str">
        <f t="shared" si="7"/>
        <v/>
      </c>
      <c r="X55" s="11" t="str">
        <f t="shared" si="4"/>
        <v/>
      </c>
      <c r="Y55"/>
      <c r="AB55" s="42"/>
      <c r="AC55" s="42"/>
      <c r="AD55" s="42" t="str">
        <f t="shared" si="0"/>
        <v/>
      </c>
    </row>
    <row r="56" spans="1:30" x14ac:dyDescent="0.25">
      <c r="A56" s="12"/>
      <c r="B56" s="13"/>
      <c r="C56" s="9"/>
      <c r="D56" s="9"/>
      <c r="E56" s="9"/>
      <c r="F56" s="9"/>
      <c r="G56" s="9"/>
      <c r="H56" s="9"/>
      <c r="I56" s="9"/>
      <c r="J56" s="9"/>
      <c r="K56" s="9"/>
      <c r="L56" s="10" t="str">
        <f t="shared" si="5"/>
        <v/>
      </c>
      <c r="M56" s="9"/>
      <c r="N56" s="9"/>
      <c r="O56" s="9"/>
      <c r="P56" s="9"/>
      <c r="Q56" s="9"/>
      <c r="R56" s="9"/>
      <c r="S56" s="9"/>
      <c r="T56" s="9"/>
      <c r="U56" s="9"/>
      <c r="V56" s="10" t="str">
        <f t="shared" si="6"/>
        <v/>
      </c>
      <c r="W56" s="11" t="str">
        <f t="shared" si="7"/>
        <v/>
      </c>
      <c r="X56" s="11" t="str">
        <f t="shared" si="4"/>
        <v/>
      </c>
      <c r="Y56"/>
      <c r="AB56" s="42"/>
      <c r="AC56" s="42"/>
      <c r="AD56" s="42" t="str">
        <f t="shared" si="0"/>
        <v/>
      </c>
    </row>
    <row r="57" spans="1:30" x14ac:dyDescent="0.25">
      <c r="A57" s="12"/>
      <c r="B57" s="13"/>
      <c r="C57" s="9"/>
      <c r="D57" s="9"/>
      <c r="E57" s="9"/>
      <c r="F57" s="9"/>
      <c r="G57" s="9"/>
      <c r="H57" s="9"/>
      <c r="I57" s="9"/>
      <c r="J57" s="9"/>
      <c r="K57" s="9"/>
      <c r="L57" s="10" t="str">
        <f t="shared" si="5"/>
        <v/>
      </c>
      <c r="M57" s="9"/>
      <c r="N57" s="9"/>
      <c r="O57" s="9"/>
      <c r="P57" s="9"/>
      <c r="Q57" s="9"/>
      <c r="R57" s="9"/>
      <c r="S57" s="9"/>
      <c r="T57" s="9"/>
      <c r="U57" s="9"/>
      <c r="V57" s="10" t="str">
        <f t="shared" si="6"/>
        <v/>
      </c>
      <c r="W57" s="11" t="str">
        <f t="shared" si="7"/>
        <v/>
      </c>
      <c r="X57" s="11" t="str">
        <f t="shared" si="4"/>
        <v/>
      </c>
      <c r="Y57"/>
      <c r="AB57" s="42"/>
      <c r="AC57" s="42"/>
      <c r="AD57" s="42" t="str">
        <f t="shared" si="0"/>
        <v/>
      </c>
    </row>
    <row r="58" spans="1:30" x14ac:dyDescent="0.25">
      <c r="A58" s="12"/>
      <c r="B58" s="13"/>
      <c r="C58" s="9"/>
      <c r="D58" s="9"/>
      <c r="E58" s="9"/>
      <c r="F58" s="9"/>
      <c r="G58" s="9"/>
      <c r="H58" s="9"/>
      <c r="I58" s="9"/>
      <c r="J58" s="9"/>
      <c r="K58" s="9"/>
      <c r="L58" s="10" t="str">
        <f t="shared" si="5"/>
        <v/>
      </c>
      <c r="M58" s="9"/>
      <c r="N58" s="9"/>
      <c r="O58" s="9"/>
      <c r="P58" s="9"/>
      <c r="Q58" s="9"/>
      <c r="R58" s="9"/>
      <c r="S58" s="9"/>
      <c r="T58" s="9"/>
      <c r="U58" s="9"/>
      <c r="V58" s="10" t="str">
        <f t="shared" si="6"/>
        <v/>
      </c>
      <c r="W58" s="11" t="str">
        <f t="shared" si="7"/>
        <v/>
      </c>
      <c r="X58" s="11" t="str">
        <f t="shared" si="4"/>
        <v/>
      </c>
      <c r="Y58"/>
      <c r="AB58" s="42"/>
      <c r="AC58" s="42"/>
      <c r="AD58" s="42" t="str">
        <f t="shared" si="0"/>
        <v/>
      </c>
    </row>
    <row r="59" spans="1:30" x14ac:dyDescent="0.25">
      <c r="A59" s="12"/>
      <c r="B59" s="13"/>
      <c r="C59" s="9"/>
      <c r="D59" s="9"/>
      <c r="E59" s="9"/>
      <c r="F59" s="9"/>
      <c r="G59" s="9"/>
      <c r="H59" s="9"/>
      <c r="I59" s="9"/>
      <c r="J59" s="9"/>
      <c r="K59" s="9"/>
      <c r="L59" s="10" t="str">
        <f t="shared" si="5"/>
        <v/>
      </c>
      <c r="M59" s="9"/>
      <c r="N59" s="9"/>
      <c r="O59" s="9"/>
      <c r="P59" s="9"/>
      <c r="Q59" s="9"/>
      <c r="R59" s="9"/>
      <c r="S59" s="9"/>
      <c r="T59" s="9"/>
      <c r="U59" s="9"/>
      <c r="V59" s="10" t="str">
        <f t="shared" si="6"/>
        <v/>
      </c>
      <c r="W59" s="11" t="str">
        <f t="shared" si="7"/>
        <v/>
      </c>
      <c r="X59" s="11" t="str">
        <f t="shared" si="4"/>
        <v/>
      </c>
      <c r="Y59"/>
      <c r="AB59" s="42"/>
      <c r="AC59" s="42"/>
      <c r="AD59" s="42" t="str">
        <f t="shared" si="0"/>
        <v/>
      </c>
    </row>
    <row r="60" spans="1:30" x14ac:dyDescent="0.25">
      <c r="A60" s="45"/>
      <c r="B60" s="14"/>
      <c r="C60" s="15"/>
      <c r="D60" s="15"/>
      <c r="E60" s="15"/>
      <c r="F60" s="15"/>
      <c r="G60" s="15"/>
      <c r="H60" s="15"/>
      <c r="I60" s="15"/>
      <c r="J60" s="15"/>
      <c r="K60" s="15"/>
      <c r="L60" s="16" t="str">
        <f t="shared" si="5"/>
        <v/>
      </c>
      <c r="M60" s="15"/>
      <c r="N60" s="15"/>
      <c r="O60" s="15"/>
      <c r="P60" s="15"/>
      <c r="Q60" s="15"/>
      <c r="R60" s="15"/>
      <c r="S60" s="15"/>
      <c r="T60" s="15"/>
      <c r="U60" s="15"/>
      <c r="V60" s="16" t="str">
        <f t="shared" si="6"/>
        <v/>
      </c>
      <c r="W60" s="17" t="str">
        <f t="shared" si="7"/>
        <v/>
      </c>
      <c r="X60" s="17" t="str">
        <f t="shared" si="4"/>
        <v/>
      </c>
      <c r="Y60"/>
      <c r="AB60" s="42"/>
      <c r="AC60" s="42"/>
      <c r="AD60" s="42" t="str">
        <f t="shared" si="0"/>
        <v/>
      </c>
    </row>
  </sheetData>
  <sheetProtection sheet="1" objects="1" scenarios="1" selectLockedCells="1"/>
  <mergeCells count="47">
    <mergeCell ref="B1:C1"/>
    <mergeCell ref="D1:E1"/>
    <mergeCell ref="P1:V1"/>
    <mergeCell ref="B2:C2"/>
    <mergeCell ref="D2:E2"/>
    <mergeCell ref="G1:L1"/>
    <mergeCell ref="M1:N1"/>
    <mergeCell ref="P2:Q2"/>
    <mergeCell ref="G2:L2"/>
    <mergeCell ref="M2:N2"/>
    <mergeCell ref="R2:S2"/>
    <mergeCell ref="T2:U2"/>
    <mergeCell ref="P3:Q3"/>
    <mergeCell ref="R3:S3"/>
    <mergeCell ref="T3:U3"/>
    <mergeCell ref="M3:N3"/>
    <mergeCell ref="P4:Q4"/>
    <mergeCell ref="R4:S4"/>
    <mergeCell ref="M5:N5"/>
    <mergeCell ref="P6:Q6"/>
    <mergeCell ref="R6:S6"/>
    <mergeCell ref="T4:U4"/>
    <mergeCell ref="G4:L4"/>
    <mergeCell ref="M4:N4"/>
    <mergeCell ref="P5:Q5"/>
    <mergeCell ref="R5:S5"/>
    <mergeCell ref="T5:U5"/>
    <mergeCell ref="M7:N7"/>
    <mergeCell ref="B7:C7"/>
    <mergeCell ref="D7:E7"/>
    <mergeCell ref="T6:U6"/>
    <mergeCell ref="G6:L6"/>
    <mergeCell ref="M6:N6"/>
    <mergeCell ref="P7:Q7"/>
    <mergeCell ref="R7:S7"/>
    <mergeCell ref="T7:U7"/>
    <mergeCell ref="B6:C6"/>
    <mergeCell ref="D6:E6"/>
    <mergeCell ref="B3:C3"/>
    <mergeCell ref="B5:C5"/>
    <mergeCell ref="D5:E5"/>
    <mergeCell ref="D3:E3"/>
    <mergeCell ref="G7:L7"/>
    <mergeCell ref="G5:L5"/>
    <mergeCell ref="B4:C4"/>
    <mergeCell ref="D4:E4"/>
    <mergeCell ref="G3:L3"/>
  </mergeCells>
  <dataValidations count="1">
    <dataValidation type="list" allowBlank="1" showInputMessage="1" showErrorMessage="1" sqref="B11:B60" xr:uid="{00000000-0002-0000-0400-000000000000}">
      <formula1>$AB:$AB</formula1>
    </dataValidation>
  </dataValidations>
  <printOptions horizontalCentered="1"/>
  <pageMargins left="0.7" right="0.7" top="0.75" bottom="0.75" header="0.3" footer="0.3"/>
  <pageSetup scale="76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D60"/>
  <sheetViews>
    <sheetView workbookViewId="0">
      <pane ySplit="10" topLeftCell="A11" activePane="bottomLeft" state="frozen"/>
      <selection pane="bottomLeft" activeCell="A21" sqref="A21"/>
    </sheetView>
  </sheetViews>
  <sheetFormatPr defaultRowHeight="15" x14ac:dyDescent="0.25"/>
  <cols>
    <col min="1" max="1" width="9.85546875" customWidth="1"/>
    <col min="2" max="2" width="16.42578125" customWidth="1"/>
    <col min="3" max="3" width="3" customWidth="1"/>
    <col min="4" max="11" width="3" style="1" customWidth="1"/>
    <col min="12" max="12" width="5.28515625" style="1" customWidth="1"/>
    <col min="13" max="21" width="3" style="1" customWidth="1"/>
    <col min="22" max="24" width="5.28515625" style="1" customWidth="1"/>
    <col min="25" max="25" width="2" style="1" customWidth="1"/>
    <col min="26" max="26" width="10.5703125" bestFit="1" customWidth="1"/>
    <col min="27" max="27" width="10.7109375" customWidth="1"/>
    <col min="28" max="28" width="19.85546875" style="44" customWidth="1"/>
    <col min="29" max="29" width="4.5703125" style="44" bestFit="1" customWidth="1"/>
    <col min="30" max="30" width="4.28515625" style="44" bestFit="1" customWidth="1"/>
  </cols>
  <sheetData>
    <row r="1" spans="1:30" x14ac:dyDescent="0.25">
      <c r="A1" s="2"/>
      <c r="B1" s="48" t="s">
        <v>39</v>
      </c>
      <c r="C1" s="49"/>
      <c r="D1" s="50">
        <f>ROUND(AVERAGE(W11:W60),0)</f>
        <v>95</v>
      </c>
      <c r="E1" s="51"/>
      <c r="G1" s="57" t="s">
        <v>2</v>
      </c>
      <c r="H1" s="58"/>
      <c r="I1" s="58"/>
      <c r="J1" s="58"/>
      <c r="K1" s="58"/>
      <c r="L1" s="58"/>
      <c r="M1" s="59">
        <f>MIN(W11:W60)</f>
        <v>90</v>
      </c>
      <c r="N1" s="60"/>
      <c r="P1" s="61" t="s">
        <v>0</v>
      </c>
      <c r="Q1" s="62"/>
      <c r="R1" s="62"/>
      <c r="S1" s="62"/>
      <c r="T1" s="62"/>
      <c r="U1" s="62"/>
      <c r="V1" s="63"/>
      <c r="Z1" s="35"/>
      <c r="AA1" s="35"/>
      <c r="AB1" s="41" t="s">
        <v>37</v>
      </c>
      <c r="AC1" s="41" t="s">
        <v>35</v>
      </c>
      <c r="AD1" s="41" t="s">
        <v>36</v>
      </c>
    </row>
    <row r="2" spans="1:30" x14ac:dyDescent="0.25">
      <c r="A2" s="2"/>
      <c r="B2" s="48" t="s">
        <v>42</v>
      </c>
      <c r="C2" s="49"/>
      <c r="D2" s="50">
        <f>AVERAGEIF(X:X,"&gt;0")</f>
        <v>23.4</v>
      </c>
      <c r="E2" s="51"/>
      <c r="G2" s="48"/>
      <c r="H2" s="49"/>
      <c r="I2" s="49"/>
      <c r="J2" s="49"/>
      <c r="K2" s="49"/>
      <c r="L2" s="49"/>
      <c r="M2" s="54"/>
      <c r="N2" s="55"/>
      <c r="P2" s="46" t="s">
        <v>3</v>
      </c>
      <c r="Q2" s="47"/>
      <c r="R2" s="53">
        <v>240</v>
      </c>
      <c r="S2" s="53"/>
      <c r="T2" s="52" t="s">
        <v>4</v>
      </c>
      <c r="U2" s="47"/>
      <c r="V2" s="3">
        <v>160</v>
      </c>
      <c r="Z2" s="36"/>
      <c r="AA2" s="36"/>
      <c r="AB2" s="42"/>
      <c r="AC2" s="42"/>
      <c r="AD2" s="42" t="str">
        <f>IF(AC2&lt;&gt;"",AC2-72,"")</f>
        <v/>
      </c>
    </row>
    <row r="3" spans="1:30" x14ac:dyDescent="0.25">
      <c r="A3" s="2"/>
      <c r="B3" s="48" t="s">
        <v>10</v>
      </c>
      <c r="C3" s="49"/>
      <c r="D3" s="50">
        <f>COUNTIF(C11:V60,-1)</f>
        <v>1</v>
      </c>
      <c r="E3" s="51"/>
      <c r="G3" s="48" t="s">
        <v>11</v>
      </c>
      <c r="H3" s="49"/>
      <c r="I3" s="49"/>
      <c r="J3" s="49"/>
      <c r="K3" s="49"/>
      <c r="L3" s="49"/>
      <c r="M3" s="54">
        <f>D3/$M$7</f>
        <v>5.5555555555555558E-3</v>
      </c>
      <c r="N3" s="55"/>
      <c r="P3" s="46" t="s">
        <v>7</v>
      </c>
      <c r="Q3" s="47"/>
      <c r="R3" s="53">
        <v>200</v>
      </c>
      <c r="S3" s="53"/>
      <c r="T3" s="52" t="s">
        <v>8</v>
      </c>
      <c r="U3" s="47"/>
      <c r="V3" s="3">
        <v>150</v>
      </c>
      <c r="Z3" s="36"/>
      <c r="AA3" s="36"/>
      <c r="AB3" s="42" t="s">
        <v>9</v>
      </c>
      <c r="AC3" s="42">
        <v>72</v>
      </c>
      <c r="AD3" s="42">
        <f t="shared" ref="AD3:AD60" si="0">IF(AC3&lt;&gt;"",AC3-72,"")</f>
        <v>0</v>
      </c>
    </row>
    <row r="4" spans="1:30" x14ac:dyDescent="0.25">
      <c r="B4" s="48" t="s">
        <v>15</v>
      </c>
      <c r="C4" s="49"/>
      <c r="D4" s="50">
        <f>COUNTIF(C11:V60,0)</f>
        <v>36</v>
      </c>
      <c r="E4" s="51"/>
      <c r="G4" s="48" t="s">
        <v>16</v>
      </c>
      <c r="H4" s="49"/>
      <c r="I4" s="49"/>
      <c r="J4" s="49"/>
      <c r="K4" s="49"/>
      <c r="L4" s="49"/>
      <c r="M4" s="54">
        <f>D4/$M$7</f>
        <v>0.2</v>
      </c>
      <c r="N4" s="55"/>
      <c r="P4" s="46" t="s">
        <v>12</v>
      </c>
      <c r="Q4" s="47"/>
      <c r="R4" s="53">
        <v>180</v>
      </c>
      <c r="S4" s="53"/>
      <c r="T4" s="52" t="s">
        <v>13</v>
      </c>
      <c r="U4" s="47"/>
      <c r="V4" s="3">
        <v>140</v>
      </c>
      <c r="Z4" s="36"/>
      <c r="AA4" s="36"/>
      <c r="AB4" s="42" t="s">
        <v>24</v>
      </c>
      <c r="AC4" s="42">
        <v>72</v>
      </c>
      <c r="AD4" s="42">
        <f t="shared" si="0"/>
        <v>0</v>
      </c>
    </row>
    <row r="5" spans="1:30" x14ac:dyDescent="0.25">
      <c r="B5" s="48" t="s">
        <v>20</v>
      </c>
      <c r="C5" s="49"/>
      <c r="D5" s="50">
        <f>COUNTIF(C11:V60,1)</f>
        <v>68</v>
      </c>
      <c r="E5" s="51"/>
      <c r="G5" s="48" t="s">
        <v>21</v>
      </c>
      <c r="H5" s="49"/>
      <c r="I5" s="49"/>
      <c r="J5" s="49"/>
      <c r="K5" s="49"/>
      <c r="L5" s="49"/>
      <c r="M5" s="54">
        <f>D5/$M$7</f>
        <v>0.37777777777777777</v>
      </c>
      <c r="N5" s="55"/>
      <c r="P5" s="56" t="s">
        <v>17</v>
      </c>
      <c r="Q5" s="47"/>
      <c r="R5" s="53">
        <v>190</v>
      </c>
      <c r="S5" s="53"/>
      <c r="T5" s="52" t="s">
        <v>18</v>
      </c>
      <c r="U5" s="47"/>
      <c r="V5" s="3">
        <v>130</v>
      </c>
      <c r="Z5" s="36"/>
      <c r="AA5" s="36"/>
      <c r="AB5" s="42" t="s">
        <v>19</v>
      </c>
      <c r="AC5" s="42">
        <v>72</v>
      </c>
      <c r="AD5" s="42">
        <f t="shared" si="0"/>
        <v>0</v>
      </c>
    </row>
    <row r="6" spans="1:30" x14ac:dyDescent="0.25">
      <c r="B6" s="48" t="s">
        <v>25</v>
      </c>
      <c r="C6" s="49"/>
      <c r="D6" s="50">
        <f>COUNTIF(C11:V60,2)</f>
        <v>59</v>
      </c>
      <c r="E6" s="51"/>
      <c r="G6" s="48" t="s">
        <v>26</v>
      </c>
      <c r="H6" s="49"/>
      <c r="I6" s="49"/>
      <c r="J6" s="49"/>
      <c r="K6" s="49"/>
      <c r="L6" s="49"/>
      <c r="M6" s="54">
        <f>D6/$M$7</f>
        <v>0.32777777777777778</v>
      </c>
      <c r="N6" s="55"/>
      <c r="P6" s="56" t="s">
        <v>22</v>
      </c>
      <c r="Q6" s="47"/>
      <c r="R6" s="53">
        <v>180</v>
      </c>
      <c r="S6" s="53"/>
      <c r="T6" s="46" t="s">
        <v>23</v>
      </c>
      <c r="U6" s="47"/>
      <c r="V6" s="3">
        <v>110</v>
      </c>
      <c r="Z6" s="36"/>
      <c r="AA6" s="36"/>
      <c r="AB6" s="42" t="s">
        <v>34</v>
      </c>
      <c r="AC6" s="42">
        <v>70</v>
      </c>
      <c r="AD6" s="42">
        <f t="shared" si="0"/>
        <v>-2</v>
      </c>
    </row>
    <row r="7" spans="1:30" x14ac:dyDescent="0.25">
      <c r="B7" s="48" t="s">
        <v>40</v>
      </c>
      <c r="C7" s="49"/>
      <c r="D7" s="50">
        <f>COUNTA(A10:A60)-1</f>
        <v>10</v>
      </c>
      <c r="E7" s="51"/>
      <c r="G7" s="48" t="s">
        <v>38</v>
      </c>
      <c r="H7" s="49"/>
      <c r="I7" s="49"/>
      <c r="J7" s="49"/>
      <c r="K7" s="49"/>
      <c r="L7" s="49"/>
      <c r="M7" s="50">
        <f>COUNT(C11:K60)+COUNT(M11:U60)</f>
        <v>180</v>
      </c>
      <c r="N7" s="51"/>
      <c r="P7" s="52" t="s">
        <v>27</v>
      </c>
      <c r="Q7" s="47"/>
      <c r="R7" s="53">
        <v>170</v>
      </c>
      <c r="S7" s="53"/>
      <c r="T7" s="46" t="s">
        <v>28</v>
      </c>
      <c r="U7" s="47"/>
      <c r="V7" s="3">
        <v>80</v>
      </c>
      <c r="Z7" s="36"/>
      <c r="AA7" s="36"/>
      <c r="AB7" s="42" t="s">
        <v>14</v>
      </c>
      <c r="AC7" s="42">
        <v>72</v>
      </c>
      <c r="AD7" s="42">
        <f t="shared" si="0"/>
        <v>0</v>
      </c>
    </row>
    <row r="8" spans="1:30" x14ac:dyDescent="0.25">
      <c r="O8" s="37"/>
      <c r="P8" s="38"/>
      <c r="Q8" s="39"/>
      <c r="R8" s="40"/>
      <c r="S8" s="40"/>
      <c r="T8" s="39"/>
      <c r="U8" s="39"/>
      <c r="V8" s="40"/>
      <c r="W8" s="37"/>
      <c r="Z8" s="36"/>
      <c r="AA8" s="36"/>
      <c r="AB8" s="42"/>
      <c r="AC8" s="42"/>
      <c r="AD8" s="42"/>
    </row>
    <row r="9" spans="1:30" x14ac:dyDescent="0.25">
      <c r="Z9" s="36"/>
      <c r="AA9" s="36"/>
      <c r="AB9" s="42"/>
      <c r="AC9" s="42"/>
      <c r="AD9" s="42" t="str">
        <f t="shared" si="0"/>
        <v/>
      </c>
    </row>
    <row r="10" spans="1:30" s="6" customFormat="1" x14ac:dyDescent="0.25">
      <c r="A10" s="4" t="s">
        <v>29</v>
      </c>
      <c r="B10" s="4" t="s">
        <v>1</v>
      </c>
      <c r="C10" s="4">
        <v>1</v>
      </c>
      <c r="D10" s="4">
        <v>2</v>
      </c>
      <c r="E10" s="4">
        <v>3</v>
      </c>
      <c r="F10" s="4">
        <v>4</v>
      </c>
      <c r="G10" s="4">
        <v>5</v>
      </c>
      <c r="H10" s="4">
        <v>6</v>
      </c>
      <c r="I10" s="4">
        <v>7</v>
      </c>
      <c r="J10" s="4">
        <v>8</v>
      </c>
      <c r="K10" s="4">
        <v>9</v>
      </c>
      <c r="L10" s="5" t="s">
        <v>30</v>
      </c>
      <c r="M10" s="4">
        <v>10</v>
      </c>
      <c r="N10" s="4">
        <v>11</v>
      </c>
      <c r="O10" s="4">
        <v>12</v>
      </c>
      <c r="P10" s="4">
        <v>13</v>
      </c>
      <c r="Q10" s="4">
        <v>14</v>
      </c>
      <c r="R10" s="4">
        <v>15</v>
      </c>
      <c r="S10" s="4">
        <v>16</v>
      </c>
      <c r="T10" s="4">
        <v>17</v>
      </c>
      <c r="U10" s="4">
        <v>18</v>
      </c>
      <c r="V10" s="5" t="s">
        <v>31</v>
      </c>
      <c r="W10" s="4" t="s">
        <v>32</v>
      </c>
      <c r="X10" s="4" t="s">
        <v>33</v>
      </c>
      <c r="AB10" s="43"/>
      <c r="AC10" s="43"/>
      <c r="AD10" s="42" t="str">
        <f t="shared" si="0"/>
        <v/>
      </c>
    </row>
    <row r="11" spans="1:30" x14ac:dyDescent="0.25">
      <c r="A11" s="7">
        <v>42090</v>
      </c>
      <c r="B11" s="8" t="s">
        <v>14</v>
      </c>
      <c r="C11" s="9">
        <v>2</v>
      </c>
      <c r="D11" s="9">
        <v>1</v>
      </c>
      <c r="E11" s="9">
        <v>0</v>
      </c>
      <c r="F11" s="9">
        <v>2</v>
      </c>
      <c r="G11" s="9">
        <v>2</v>
      </c>
      <c r="H11" s="9">
        <v>1</v>
      </c>
      <c r="I11" s="9">
        <v>3</v>
      </c>
      <c r="J11" s="9">
        <v>3</v>
      </c>
      <c r="K11" s="9">
        <v>2</v>
      </c>
      <c r="L11" s="10">
        <f t="shared" ref="L11:L42" si="1">IF(C11&lt;&gt;"",SUM(C11:K11),"")</f>
        <v>16</v>
      </c>
      <c r="M11" s="9">
        <v>2</v>
      </c>
      <c r="N11" s="9">
        <v>2</v>
      </c>
      <c r="O11" s="9">
        <v>2</v>
      </c>
      <c r="P11" s="9">
        <v>2</v>
      </c>
      <c r="Q11" s="9">
        <v>0</v>
      </c>
      <c r="R11" s="9">
        <v>1</v>
      </c>
      <c r="S11" s="9">
        <v>2</v>
      </c>
      <c r="T11" s="9">
        <v>3</v>
      </c>
      <c r="U11" s="9">
        <v>2</v>
      </c>
      <c r="V11" s="10">
        <f t="shared" ref="V11:V60" si="2">IF(M11&lt;&gt;"",SUM(M11:U11),"")</f>
        <v>16</v>
      </c>
      <c r="W11" s="11">
        <f t="shared" ref="W11:W60" si="3">IF(L11&lt;&gt;"",IF(M11="",(L11*2+(LOOKUP(B11,AB:AB,AD:AD)))+72,L11+V11+72+LOOKUP(B11,AB:AB,AD:AD)),"")</f>
        <v>104</v>
      </c>
      <c r="X11" s="11">
        <f t="shared" ref="X11:X60" si="4">IF(W11&lt;&gt;"",W11-72,"")</f>
        <v>32</v>
      </c>
      <c r="Y11"/>
      <c r="AB11" s="42"/>
      <c r="AC11" s="42"/>
      <c r="AD11" s="42" t="str">
        <f t="shared" si="0"/>
        <v/>
      </c>
    </row>
    <row r="12" spans="1:30" x14ac:dyDescent="0.25">
      <c r="A12" s="12">
        <v>42107</v>
      </c>
      <c r="B12" s="13" t="s">
        <v>19</v>
      </c>
      <c r="C12" s="9">
        <v>1</v>
      </c>
      <c r="D12" s="9">
        <v>2</v>
      </c>
      <c r="E12" s="9">
        <v>2</v>
      </c>
      <c r="F12" s="9">
        <v>0</v>
      </c>
      <c r="G12" s="9">
        <v>1</v>
      </c>
      <c r="H12" s="9">
        <v>2</v>
      </c>
      <c r="I12" s="9">
        <v>0</v>
      </c>
      <c r="J12" s="9">
        <v>0</v>
      </c>
      <c r="K12" s="9">
        <v>1</v>
      </c>
      <c r="L12" s="10">
        <f t="shared" si="1"/>
        <v>9</v>
      </c>
      <c r="M12" s="9">
        <v>2</v>
      </c>
      <c r="N12" s="9">
        <v>2</v>
      </c>
      <c r="O12" s="9">
        <v>1</v>
      </c>
      <c r="P12" s="9">
        <v>1</v>
      </c>
      <c r="Q12" s="9">
        <v>1</v>
      </c>
      <c r="R12" s="9">
        <v>1</v>
      </c>
      <c r="S12" s="9">
        <v>0</v>
      </c>
      <c r="T12" s="9">
        <v>0</v>
      </c>
      <c r="U12" s="9">
        <v>2</v>
      </c>
      <c r="V12" s="10">
        <f t="shared" si="2"/>
        <v>10</v>
      </c>
      <c r="W12" s="11">
        <f t="shared" si="3"/>
        <v>91</v>
      </c>
      <c r="X12" s="11">
        <f t="shared" si="4"/>
        <v>19</v>
      </c>
      <c r="Y12"/>
      <c r="AB12" s="42"/>
      <c r="AC12" s="42"/>
      <c r="AD12" s="42" t="str">
        <f t="shared" si="0"/>
        <v/>
      </c>
    </row>
    <row r="13" spans="1:30" x14ac:dyDescent="0.25">
      <c r="A13" s="12">
        <v>42109</v>
      </c>
      <c r="B13" s="13" t="s">
        <v>19</v>
      </c>
      <c r="C13" s="9">
        <v>2</v>
      </c>
      <c r="D13" s="9">
        <v>2</v>
      </c>
      <c r="E13" s="9">
        <v>1</v>
      </c>
      <c r="F13" s="9">
        <v>1</v>
      </c>
      <c r="G13" s="9">
        <v>2</v>
      </c>
      <c r="H13" s="9">
        <v>1</v>
      </c>
      <c r="I13" s="9">
        <v>2</v>
      </c>
      <c r="J13" s="9">
        <v>0</v>
      </c>
      <c r="K13" s="9">
        <v>2</v>
      </c>
      <c r="L13" s="10">
        <f t="shared" si="1"/>
        <v>13</v>
      </c>
      <c r="M13" s="9">
        <v>2</v>
      </c>
      <c r="N13" s="9">
        <v>3</v>
      </c>
      <c r="O13" s="9">
        <v>0</v>
      </c>
      <c r="P13" s="9">
        <v>0</v>
      </c>
      <c r="Q13" s="9">
        <v>1</v>
      </c>
      <c r="R13" s="9">
        <v>1</v>
      </c>
      <c r="S13" s="9">
        <v>0</v>
      </c>
      <c r="T13" s="9">
        <v>3</v>
      </c>
      <c r="U13" s="9">
        <v>0</v>
      </c>
      <c r="V13" s="10">
        <f t="shared" si="2"/>
        <v>10</v>
      </c>
      <c r="W13" s="11">
        <f t="shared" si="3"/>
        <v>95</v>
      </c>
      <c r="X13" s="11">
        <f t="shared" si="4"/>
        <v>23</v>
      </c>
      <c r="Y13"/>
      <c r="AB13" s="42"/>
      <c r="AC13" s="42"/>
      <c r="AD13" s="42" t="str">
        <f t="shared" si="0"/>
        <v/>
      </c>
    </row>
    <row r="14" spans="1:30" x14ac:dyDescent="0.25">
      <c r="A14" s="12">
        <v>42146</v>
      </c>
      <c r="B14" s="13" t="s">
        <v>19</v>
      </c>
      <c r="C14" s="9">
        <v>0</v>
      </c>
      <c r="D14" s="9">
        <v>1</v>
      </c>
      <c r="E14" s="9">
        <v>1</v>
      </c>
      <c r="F14" s="9">
        <v>2</v>
      </c>
      <c r="G14" s="9">
        <v>2</v>
      </c>
      <c r="H14" s="9">
        <v>0</v>
      </c>
      <c r="I14" s="9">
        <v>2</v>
      </c>
      <c r="J14" s="9">
        <v>1</v>
      </c>
      <c r="K14" s="9">
        <v>-1</v>
      </c>
      <c r="L14" s="10">
        <f t="shared" si="1"/>
        <v>8</v>
      </c>
      <c r="M14" s="9">
        <v>1</v>
      </c>
      <c r="N14" s="9">
        <v>2</v>
      </c>
      <c r="O14" s="9">
        <v>1</v>
      </c>
      <c r="P14" s="9">
        <v>1</v>
      </c>
      <c r="Q14" s="9">
        <v>2</v>
      </c>
      <c r="R14" s="9">
        <v>1</v>
      </c>
      <c r="S14" s="9">
        <v>2</v>
      </c>
      <c r="T14" s="9">
        <v>2</v>
      </c>
      <c r="U14" s="9">
        <v>3</v>
      </c>
      <c r="V14" s="10">
        <f t="shared" si="2"/>
        <v>15</v>
      </c>
      <c r="W14" s="11">
        <f t="shared" si="3"/>
        <v>95</v>
      </c>
      <c r="X14" s="11">
        <f t="shared" si="4"/>
        <v>23</v>
      </c>
      <c r="Y14"/>
      <c r="AB14" s="42"/>
      <c r="AC14" s="42"/>
      <c r="AD14" s="42" t="str">
        <f t="shared" si="0"/>
        <v/>
      </c>
    </row>
    <row r="15" spans="1:30" x14ac:dyDescent="0.25">
      <c r="A15" s="12">
        <v>42161</v>
      </c>
      <c r="B15" s="13" t="s">
        <v>19</v>
      </c>
      <c r="C15" s="9">
        <v>2</v>
      </c>
      <c r="D15" s="9">
        <v>2</v>
      </c>
      <c r="E15" s="9">
        <v>3</v>
      </c>
      <c r="F15" s="9">
        <v>1</v>
      </c>
      <c r="G15" s="9">
        <v>2</v>
      </c>
      <c r="H15" s="9">
        <v>3</v>
      </c>
      <c r="I15" s="9">
        <v>1</v>
      </c>
      <c r="J15" s="9">
        <v>1</v>
      </c>
      <c r="K15" s="9">
        <v>2</v>
      </c>
      <c r="L15" s="10">
        <f t="shared" si="1"/>
        <v>17</v>
      </c>
      <c r="M15" s="9">
        <v>2</v>
      </c>
      <c r="N15" s="9">
        <v>1</v>
      </c>
      <c r="O15" s="9">
        <v>4</v>
      </c>
      <c r="P15" s="9">
        <v>1</v>
      </c>
      <c r="Q15" s="9">
        <v>2</v>
      </c>
      <c r="R15" s="9">
        <v>0</v>
      </c>
      <c r="S15" s="9">
        <v>1</v>
      </c>
      <c r="T15" s="9">
        <v>2</v>
      </c>
      <c r="U15" s="9">
        <v>1</v>
      </c>
      <c r="V15" s="10">
        <f t="shared" si="2"/>
        <v>14</v>
      </c>
      <c r="W15" s="11">
        <f t="shared" si="3"/>
        <v>103</v>
      </c>
      <c r="X15" s="11">
        <f t="shared" si="4"/>
        <v>31</v>
      </c>
      <c r="Y15"/>
      <c r="AB15" s="42"/>
      <c r="AC15" s="42"/>
      <c r="AD15" s="42" t="str">
        <f t="shared" si="0"/>
        <v/>
      </c>
    </row>
    <row r="16" spans="1:30" x14ac:dyDescent="0.25">
      <c r="A16" s="12">
        <v>42178</v>
      </c>
      <c r="B16" s="13" t="s">
        <v>19</v>
      </c>
      <c r="C16" s="9">
        <v>1</v>
      </c>
      <c r="D16" s="9">
        <v>1</v>
      </c>
      <c r="E16" s="9">
        <v>3</v>
      </c>
      <c r="F16" s="9">
        <v>0</v>
      </c>
      <c r="G16" s="9">
        <v>1</v>
      </c>
      <c r="H16" s="9">
        <v>1</v>
      </c>
      <c r="I16" s="9">
        <v>2</v>
      </c>
      <c r="J16" s="9">
        <v>0</v>
      </c>
      <c r="K16" s="9">
        <v>2</v>
      </c>
      <c r="L16" s="10">
        <f t="shared" si="1"/>
        <v>11</v>
      </c>
      <c r="M16" s="9">
        <v>2</v>
      </c>
      <c r="N16" s="9">
        <v>1</v>
      </c>
      <c r="O16" s="9">
        <v>0</v>
      </c>
      <c r="P16" s="9">
        <v>3</v>
      </c>
      <c r="Q16" s="9">
        <v>2</v>
      </c>
      <c r="R16" s="9">
        <v>2</v>
      </c>
      <c r="S16" s="9">
        <v>0</v>
      </c>
      <c r="T16" s="9">
        <v>1</v>
      </c>
      <c r="U16" s="9">
        <v>1</v>
      </c>
      <c r="V16" s="10">
        <f t="shared" si="2"/>
        <v>12</v>
      </c>
      <c r="W16" s="11">
        <f t="shared" si="3"/>
        <v>95</v>
      </c>
      <c r="X16" s="11">
        <f t="shared" si="4"/>
        <v>23</v>
      </c>
      <c r="Y16"/>
      <c r="AB16" s="42"/>
      <c r="AC16" s="42"/>
      <c r="AD16" s="42" t="str">
        <f t="shared" si="0"/>
        <v/>
      </c>
    </row>
    <row r="17" spans="1:30" x14ac:dyDescent="0.25">
      <c r="A17" s="12">
        <v>42191</v>
      </c>
      <c r="B17" s="13" t="s">
        <v>14</v>
      </c>
      <c r="C17" s="9">
        <v>2</v>
      </c>
      <c r="D17" s="9">
        <v>2</v>
      </c>
      <c r="E17" s="9">
        <v>1</v>
      </c>
      <c r="F17" s="9">
        <v>0</v>
      </c>
      <c r="G17" s="9">
        <v>1</v>
      </c>
      <c r="H17" s="9">
        <v>3</v>
      </c>
      <c r="I17" s="9">
        <v>1</v>
      </c>
      <c r="J17" s="9">
        <v>1</v>
      </c>
      <c r="K17" s="9">
        <v>1</v>
      </c>
      <c r="L17" s="10">
        <f t="shared" si="1"/>
        <v>12</v>
      </c>
      <c r="M17" s="9">
        <v>1</v>
      </c>
      <c r="N17" s="9">
        <v>3</v>
      </c>
      <c r="O17" s="9">
        <v>2</v>
      </c>
      <c r="P17" s="9">
        <v>1</v>
      </c>
      <c r="Q17" s="9">
        <v>0</v>
      </c>
      <c r="R17" s="9">
        <v>1</v>
      </c>
      <c r="S17" s="9">
        <v>0</v>
      </c>
      <c r="T17" s="9">
        <v>2</v>
      </c>
      <c r="U17" s="9">
        <v>1</v>
      </c>
      <c r="V17" s="10">
        <f t="shared" si="2"/>
        <v>11</v>
      </c>
      <c r="W17" s="11">
        <f t="shared" si="3"/>
        <v>95</v>
      </c>
      <c r="X17" s="11">
        <f t="shared" si="4"/>
        <v>23</v>
      </c>
      <c r="Y17"/>
      <c r="AB17" s="42"/>
      <c r="AC17" s="42"/>
      <c r="AD17" s="42" t="str">
        <f t="shared" si="0"/>
        <v/>
      </c>
    </row>
    <row r="18" spans="1:30" x14ac:dyDescent="0.25">
      <c r="A18" s="12">
        <v>42192</v>
      </c>
      <c r="B18" s="13" t="s">
        <v>14</v>
      </c>
      <c r="C18" s="9">
        <v>1</v>
      </c>
      <c r="D18" s="9">
        <v>1</v>
      </c>
      <c r="E18" s="9">
        <v>1</v>
      </c>
      <c r="F18" s="9">
        <v>0</v>
      </c>
      <c r="G18" s="9">
        <v>2</v>
      </c>
      <c r="H18" s="9">
        <v>0</v>
      </c>
      <c r="I18" s="9">
        <v>0</v>
      </c>
      <c r="J18" s="9">
        <v>2</v>
      </c>
      <c r="K18" s="9">
        <v>0</v>
      </c>
      <c r="L18" s="10">
        <f t="shared" si="1"/>
        <v>7</v>
      </c>
      <c r="M18" s="9">
        <v>1</v>
      </c>
      <c r="N18" s="9">
        <v>2</v>
      </c>
      <c r="O18" s="9">
        <v>2</v>
      </c>
      <c r="P18" s="9">
        <v>2</v>
      </c>
      <c r="Q18" s="9">
        <v>1</v>
      </c>
      <c r="R18" s="9">
        <v>0</v>
      </c>
      <c r="S18" s="9">
        <v>1</v>
      </c>
      <c r="T18" s="9">
        <v>1</v>
      </c>
      <c r="U18" s="9">
        <v>1</v>
      </c>
      <c r="V18" s="10">
        <f t="shared" si="2"/>
        <v>11</v>
      </c>
      <c r="W18" s="11">
        <f t="shared" si="3"/>
        <v>90</v>
      </c>
      <c r="X18" s="11">
        <f t="shared" si="4"/>
        <v>18</v>
      </c>
      <c r="Y18"/>
      <c r="AB18" s="42"/>
      <c r="AC18" s="42"/>
      <c r="AD18" s="42" t="str">
        <f t="shared" si="0"/>
        <v/>
      </c>
    </row>
    <row r="19" spans="1:30" x14ac:dyDescent="0.25">
      <c r="A19" s="12">
        <v>42227</v>
      </c>
      <c r="B19" s="13" t="s">
        <v>14</v>
      </c>
      <c r="C19" s="9">
        <v>1</v>
      </c>
      <c r="D19" s="9">
        <v>1</v>
      </c>
      <c r="E19" s="9">
        <v>1</v>
      </c>
      <c r="F19" s="9">
        <v>1</v>
      </c>
      <c r="G19" s="9">
        <v>3</v>
      </c>
      <c r="H19" s="9">
        <v>2</v>
      </c>
      <c r="I19" s="9">
        <v>1</v>
      </c>
      <c r="J19" s="9">
        <v>1</v>
      </c>
      <c r="K19" s="9">
        <v>0</v>
      </c>
      <c r="L19" s="10">
        <f t="shared" si="1"/>
        <v>11</v>
      </c>
      <c r="M19" s="9">
        <v>2</v>
      </c>
      <c r="N19" s="9">
        <v>2</v>
      </c>
      <c r="O19" s="9">
        <v>1</v>
      </c>
      <c r="P19" s="9">
        <v>1</v>
      </c>
      <c r="Q19" s="9">
        <v>0</v>
      </c>
      <c r="R19" s="9">
        <v>2</v>
      </c>
      <c r="S19" s="9">
        <v>1</v>
      </c>
      <c r="T19" s="9">
        <v>2</v>
      </c>
      <c r="U19" s="9">
        <v>0</v>
      </c>
      <c r="V19" s="10">
        <f t="shared" si="2"/>
        <v>11</v>
      </c>
      <c r="W19" s="11">
        <f t="shared" si="3"/>
        <v>94</v>
      </c>
      <c r="X19" s="11">
        <f t="shared" si="4"/>
        <v>22</v>
      </c>
      <c r="Y19"/>
      <c r="AB19" s="42"/>
      <c r="AC19" s="42"/>
      <c r="AD19" s="42" t="str">
        <f t="shared" si="0"/>
        <v/>
      </c>
    </row>
    <row r="20" spans="1:30" x14ac:dyDescent="0.25">
      <c r="A20" s="12">
        <v>42242</v>
      </c>
      <c r="B20" s="13" t="s">
        <v>19</v>
      </c>
      <c r="C20" s="9">
        <v>2</v>
      </c>
      <c r="D20" s="9">
        <v>1</v>
      </c>
      <c r="E20" s="9">
        <v>2</v>
      </c>
      <c r="F20" s="9">
        <v>3</v>
      </c>
      <c r="G20" s="9">
        <v>0</v>
      </c>
      <c r="H20" s="9">
        <v>1</v>
      </c>
      <c r="I20" s="9">
        <v>0</v>
      </c>
      <c r="J20" s="9">
        <v>0</v>
      </c>
      <c r="K20" s="9">
        <v>2</v>
      </c>
      <c r="L20" s="10">
        <f t="shared" si="1"/>
        <v>11</v>
      </c>
      <c r="M20" s="9">
        <v>0</v>
      </c>
      <c r="N20" s="9">
        <v>1</v>
      </c>
      <c r="O20" s="9">
        <v>1</v>
      </c>
      <c r="P20" s="9">
        <v>0</v>
      </c>
      <c r="Q20" s="9">
        <v>1</v>
      </c>
      <c r="R20" s="9">
        <v>3</v>
      </c>
      <c r="S20" s="9">
        <v>2</v>
      </c>
      <c r="T20" s="9">
        <v>0</v>
      </c>
      <c r="U20" s="9">
        <v>1</v>
      </c>
      <c r="V20" s="10">
        <f t="shared" si="2"/>
        <v>9</v>
      </c>
      <c r="W20" s="11">
        <f t="shared" si="3"/>
        <v>92</v>
      </c>
      <c r="X20" s="11">
        <f t="shared" si="4"/>
        <v>20</v>
      </c>
      <c r="Y20"/>
      <c r="AB20" s="42"/>
      <c r="AC20" s="42"/>
      <c r="AD20" s="42" t="str">
        <f t="shared" si="0"/>
        <v/>
      </c>
    </row>
    <row r="21" spans="1:30" x14ac:dyDescent="0.25">
      <c r="A21" s="12"/>
      <c r="B21" s="13"/>
      <c r="C21" s="9"/>
      <c r="D21" s="9"/>
      <c r="E21" s="9"/>
      <c r="F21" s="9"/>
      <c r="G21" s="9"/>
      <c r="H21" s="9"/>
      <c r="I21" s="9"/>
      <c r="J21" s="9"/>
      <c r="K21" s="9"/>
      <c r="L21" s="10" t="str">
        <f t="shared" si="1"/>
        <v/>
      </c>
      <c r="M21" s="9"/>
      <c r="N21" s="9"/>
      <c r="O21" s="9"/>
      <c r="P21" s="9"/>
      <c r="Q21" s="9"/>
      <c r="R21" s="9"/>
      <c r="S21" s="9"/>
      <c r="T21" s="9"/>
      <c r="U21" s="9"/>
      <c r="V21" s="10" t="str">
        <f t="shared" si="2"/>
        <v/>
      </c>
      <c r="W21" s="11" t="str">
        <f t="shared" si="3"/>
        <v/>
      </c>
      <c r="X21" s="11" t="str">
        <f t="shared" si="4"/>
        <v/>
      </c>
      <c r="Y21"/>
      <c r="AB21" s="42"/>
      <c r="AC21" s="42"/>
      <c r="AD21" s="42" t="str">
        <f t="shared" si="0"/>
        <v/>
      </c>
    </row>
    <row r="22" spans="1:30" x14ac:dyDescent="0.25">
      <c r="A22" s="12"/>
      <c r="B22" s="13"/>
      <c r="C22" s="9"/>
      <c r="D22" s="9"/>
      <c r="E22" s="9"/>
      <c r="F22" s="9"/>
      <c r="G22" s="9"/>
      <c r="H22" s="9"/>
      <c r="I22" s="9"/>
      <c r="J22" s="9"/>
      <c r="K22" s="9"/>
      <c r="L22" s="10" t="str">
        <f t="shared" si="1"/>
        <v/>
      </c>
      <c r="M22" s="9"/>
      <c r="N22" s="9"/>
      <c r="O22" s="9"/>
      <c r="P22" s="9"/>
      <c r="Q22" s="9"/>
      <c r="R22" s="9"/>
      <c r="S22" s="9"/>
      <c r="T22" s="9"/>
      <c r="U22" s="9"/>
      <c r="V22" s="10" t="str">
        <f t="shared" si="2"/>
        <v/>
      </c>
      <c r="W22" s="11" t="str">
        <f t="shared" si="3"/>
        <v/>
      </c>
      <c r="X22" s="11" t="str">
        <f t="shared" si="4"/>
        <v/>
      </c>
      <c r="Y22"/>
      <c r="AB22" s="42"/>
      <c r="AC22" s="42"/>
      <c r="AD22" s="42" t="str">
        <f t="shared" si="0"/>
        <v/>
      </c>
    </row>
    <row r="23" spans="1:30" x14ac:dyDescent="0.25">
      <c r="A23" s="12"/>
      <c r="B23" s="13"/>
      <c r="C23" s="9"/>
      <c r="D23" s="9"/>
      <c r="E23" s="9"/>
      <c r="F23" s="9"/>
      <c r="G23" s="9"/>
      <c r="H23" s="9"/>
      <c r="I23" s="9"/>
      <c r="J23" s="9"/>
      <c r="K23" s="9"/>
      <c r="L23" s="10" t="str">
        <f t="shared" si="1"/>
        <v/>
      </c>
      <c r="M23" s="9"/>
      <c r="N23" s="9"/>
      <c r="O23" s="9"/>
      <c r="P23" s="9"/>
      <c r="Q23" s="9"/>
      <c r="R23" s="9"/>
      <c r="S23" s="9"/>
      <c r="T23" s="9"/>
      <c r="U23" s="9"/>
      <c r="V23" s="10" t="str">
        <f t="shared" si="2"/>
        <v/>
      </c>
      <c r="W23" s="11" t="str">
        <f t="shared" si="3"/>
        <v/>
      </c>
      <c r="X23" s="11" t="str">
        <f t="shared" si="4"/>
        <v/>
      </c>
      <c r="Y23"/>
      <c r="AB23" s="42"/>
      <c r="AC23" s="42"/>
      <c r="AD23" s="42" t="str">
        <f t="shared" si="0"/>
        <v/>
      </c>
    </row>
    <row r="24" spans="1:30" x14ac:dyDescent="0.25">
      <c r="A24" s="12"/>
      <c r="B24" s="13"/>
      <c r="C24" s="9"/>
      <c r="D24" s="9"/>
      <c r="E24" s="9"/>
      <c r="F24" s="9"/>
      <c r="G24" s="9"/>
      <c r="H24" s="9"/>
      <c r="I24" s="9"/>
      <c r="J24" s="9"/>
      <c r="K24" s="9"/>
      <c r="L24" s="10" t="str">
        <f t="shared" si="1"/>
        <v/>
      </c>
      <c r="M24" s="9"/>
      <c r="N24" s="9"/>
      <c r="O24" s="9"/>
      <c r="P24" s="9"/>
      <c r="Q24" s="9"/>
      <c r="R24" s="9"/>
      <c r="S24" s="9"/>
      <c r="T24" s="9"/>
      <c r="U24" s="9"/>
      <c r="V24" s="10" t="str">
        <f t="shared" si="2"/>
        <v/>
      </c>
      <c r="W24" s="11" t="str">
        <f t="shared" si="3"/>
        <v/>
      </c>
      <c r="X24" s="11" t="str">
        <f t="shared" si="4"/>
        <v/>
      </c>
      <c r="Y24"/>
      <c r="AB24" s="42"/>
      <c r="AC24" s="42"/>
      <c r="AD24" s="42" t="str">
        <f t="shared" si="0"/>
        <v/>
      </c>
    </row>
    <row r="25" spans="1:30" x14ac:dyDescent="0.25">
      <c r="A25" s="12"/>
      <c r="B25" s="13"/>
      <c r="C25" s="9"/>
      <c r="D25" s="9"/>
      <c r="E25" s="9"/>
      <c r="F25" s="9"/>
      <c r="G25" s="9"/>
      <c r="H25" s="9"/>
      <c r="I25" s="9"/>
      <c r="J25" s="9"/>
      <c r="K25" s="9"/>
      <c r="L25" s="10" t="str">
        <f t="shared" si="1"/>
        <v/>
      </c>
      <c r="M25" s="9"/>
      <c r="N25" s="9"/>
      <c r="O25" s="9"/>
      <c r="P25" s="9"/>
      <c r="Q25" s="9"/>
      <c r="R25" s="9"/>
      <c r="S25" s="9"/>
      <c r="T25" s="9"/>
      <c r="U25" s="9"/>
      <c r="V25" s="10" t="str">
        <f t="shared" si="2"/>
        <v/>
      </c>
      <c r="W25" s="11" t="str">
        <f t="shared" si="3"/>
        <v/>
      </c>
      <c r="X25" s="11" t="str">
        <f t="shared" si="4"/>
        <v/>
      </c>
      <c r="Y25"/>
      <c r="AB25" s="42"/>
      <c r="AC25" s="42"/>
      <c r="AD25" s="42" t="str">
        <f t="shared" si="0"/>
        <v/>
      </c>
    </row>
    <row r="26" spans="1:30" x14ac:dyDescent="0.25">
      <c r="A26" s="12"/>
      <c r="B26" s="13"/>
      <c r="C26" s="9"/>
      <c r="D26" s="9"/>
      <c r="E26" s="9"/>
      <c r="F26" s="9"/>
      <c r="G26" s="9"/>
      <c r="H26" s="9"/>
      <c r="I26" s="9"/>
      <c r="J26" s="9"/>
      <c r="K26" s="9"/>
      <c r="L26" s="10" t="str">
        <f t="shared" si="1"/>
        <v/>
      </c>
      <c r="M26" s="9"/>
      <c r="N26" s="9"/>
      <c r="O26" s="9"/>
      <c r="P26" s="9"/>
      <c r="Q26" s="9"/>
      <c r="R26" s="9"/>
      <c r="S26" s="9"/>
      <c r="T26" s="9"/>
      <c r="U26" s="9"/>
      <c r="V26" s="10" t="str">
        <f t="shared" si="2"/>
        <v/>
      </c>
      <c r="W26" s="11" t="str">
        <f t="shared" si="3"/>
        <v/>
      </c>
      <c r="X26" s="11" t="str">
        <f t="shared" si="4"/>
        <v/>
      </c>
      <c r="Y26"/>
      <c r="AB26" s="42"/>
      <c r="AC26" s="42"/>
      <c r="AD26" s="42" t="str">
        <f t="shared" si="0"/>
        <v/>
      </c>
    </row>
    <row r="27" spans="1:30" x14ac:dyDescent="0.25">
      <c r="A27" s="12"/>
      <c r="B27" s="13"/>
      <c r="C27" s="9"/>
      <c r="D27" s="9"/>
      <c r="E27" s="9"/>
      <c r="F27" s="9"/>
      <c r="G27" s="9"/>
      <c r="H27" s="9"/>
      <c r="I27" s="9"/>
      <c r="J27" s="9"/>
      <c r="K27" s="9"/>
      <c r="L27" s="10" t="str">
        <f t="shared" si="1"/>
        <v/>
      </c>
      <c r="M27" s="9"/>
      <c r="N27" s="9"/>
      <c r="O27" s="9"/>
      <c r="P27" s="9"/>
      <c r="Q27" s="9"/>
      <c r="R27" s="9"/>
      <c r="S27" s="9"/>
      <c r="T27" s="9"/>
      <c r="U27" s="9"/>
      <c r="V27" s="10" t="str">
        <f t="shared" si="2"/>
        <v/>
      </c>
      <c r="W27" s="11" t="str">
        <f t="shared" si="3"/>
        <v/>
      </c>
      <c r="X27" s="11" t="str">
        <f t="shared" si="4"/>
        <v/>
      </c>
      <c r="Y27"/>
      <c r="AB27" s="42"/>
      <c r="AC27" s="42"/>
      <c r="AD27" s="42" t="str">
        <f t="shared" si="0"/>
        <v/>
      </c>
    </row>
    <row r="28" spans="1:30" x14ac:dyDescent="0.25">
      <c r="A28" s="12"/>
      <c r="B28" s="13"/>
      <c r="C28" s="9"/>
      <c r="D28" s="9"/>
      <c r="E28" s="9"/>
      <c r="F28" s="9"/>
      <c r="G28" s="9"/>
      <c r="H28" s="9"/>
      <c r="I28" s="9"/>
      <c r="J28" s="9"/>
      <c r="K28" s="9"/>
      <c r="L28" s="10" t="str">
        <f t="shared" si="1"/>
        <v/>
      </c>
      <c r="M28" s="9"/>
      <c r="N28" s="9"/>
      <c r="O28" s="9"/>
      <c r="P28" s="9"/>
      <c r="Q28" s="9"/>
      <c r="R28" s="9"/>
      <c r="S28" s="9"/>
      <c r="T28" s="9"/>
      <c r="U28" s="9"/>
      <c r="V28" s="10" t="str">
        <f t="shared" si="2"/>
        <v/>
      </c>
      <c r="W28" s="11" t="str">
        <f t="shared" si="3"/>
        <v/>
      </c>
      <c r="X28" s="11" t="str">
        <f t="shared" si="4"/>
        <v/>
      </c>
      <c r="Y28"/>
      <c r="AB28" s="42"/>
      <c r="AC28" s="42"/>
      <c r="AD28" s="42" t="str">
        <f t="shared" si="0"/>
        <v/>
      </c>
    </row>
    <row r="29" spans="1:30" x14ac:dyDescent="0.25">
      <c r="A29" s="12"/>
      <c r="B29" s="13"/>
      <c r="C29" s="9"/>
      <c r="D29" s="9"/>
      <c r="E29" s="9"/>
      <c r="F29" s="9"/>
      <c r="G29" s="9"/>
      <c r="H29" s="9"/>
      <c r="I29" s="9"/>
      <c r="J29" s="9"/>
      <c r="K29" s="9"/>
      <c r="L29" s="10" t="str">
        <f t="shared" si="1"/>
        <v/>
      </c>
      <c r="M29" s="9"/>
      <c r="N29" s="9"/>
      <c r="O29" s="9"/>
      <c r="P29" s="9"/>
      <c r="Q29" s="9"/>
      <c r="R29" s="9"/>
      <c r="S29" s="9"/>
      <c r="T29" s="9"/>
      <c r="U29" s="9"/>
      <c r="V29" s="10" t="str">
        <f t="shared" si="2"/>
        <v/>
      </c>
      <c r="W29" s="11" t="str">
        <f t="shared" si="3"/>
        <v/>
      </c>
      <c r="X29" s="11" t="str">
        <f t="shared" si="4"/>
        <v/>
      </c>
      <c r="Y29"/>
      <c r="AB29" s="42"/>
      <c r="AC29" s="42"/>
      <c r="AD29" s="42" t="str">
        <f t="shared" si="0"/>
        <v/>
      </c>
    </row>
    <row r="30" spans="1:30" x14ac:dyDescent="0.25">
      <c r="A30" s="12"/>
      <c r="B30" s="13"/>
      <c r="C30" s="9"/>
      <c r="D30" s="9"/>
      <c r="E30" s="9"/>
      <c r="F30" s="9"/>
      <c r="G30" s="9"/>
      <c r="H30" s="9"/>
      <c r="I30" s="9"/>
      <c r="J30" s="9"/>
      <c r="K30" s="9"/>
      <c r="L30" s="10" t="str">
        <f t="shared" si="1"/>
        <v/>
      </c>
      <c r="M30" s="9"/>
      <c r="N30" s="9"/>
      <c r="O30" s="9"/>
      <c r="P30" s="9"/>
      <c r="Q30" s="9"/>
      <c r="R30" s="9"/>
      <c r="S30" s="9"/>
      <c r="T30" s="9"/>
      <c r="U30" s="9"/>
      <c r="V30" s="10" t="str">
        <f t="shared" si="2"/>
        <v/>
      </c>
      <c r="W30" s="11" t="str">
        <f t="shared" si="3"/>
        <v/>
      </c>
      <c r="X30" s="11" t="str">
        <f t="shared" si="4"/>
        <v/>
      </c>
      <c r="Y30"/>
      <c r="AB30" s="42"/>
      <c r="AC30" s="42"/>
      <c r="AD30" s="42" t="str">
        <f t="shared" si="0"/>
        <v/>
      </c>
    </row>
    <row r="31" spans="1:30" x14ac:dyDescent="0.25">
      <c r="A31" s="12"/>
      <c r="B31" s="13"/>
      <c r="C31" s="9"/>
      <c r="D31" s="9"/>
      <c r="E31" s="9"/>
      <c r="F31" s="9"/>
      <c r="G31" s="9"/>
      <c r="H31" s="9"/>
      <c r="I31" s="9"/>
      <c r="J31" s="9"/>
      <c r="K31" s="9"/>
      <c r="L31" s="10" t="str">
        <f t="shared" si="1"/>
        <v/>
      </c>
      <c r="M31" s="9"/>
      <c r="N31" s="9"/>
      <c r="O31" s="9"/>
      <c r="P31" s="9"/>
      <c r="Q31" s="9"/>
      <c r="R31" s="9"/>
      <c r="S31" s="9"/>
      <c r="T31" s="9"/>
      <c r="U31" s="9"/>
      <c r="V31" s="10" t="str">
        <f t="shared" si="2"/>
        <v/>
      </c>
      <c r="W31" s="11" t="str">
        <f t="shared" si="3"/>
        <v/>
      </c>
      <c r="X31" s="11" t="str">
        <f t="shared" si="4"/>
        <v/>
      </c>
      <c r="Y31"/>
      <c r="AB31" s="42"/>
      <c r="AC31" s="42"/>
      <c r="AD31" s="42" t="str">
        <f t="shared" si="0"/>
        <v/>
      </c>
    </row>
    <row r="32" spans="1:30" x14ac:dyDescent="0.25">
      <c r="A32" s="12"/>
      <c r="B32" s="13"/>
      <c r="C32" s="9"/>
      <c r="D32" s="9"/>
      <c r="E32" s="9"/>
      <c r="F32" s="9"/>
      <c r="G32" s="9"/>
      <c r="H32" s="9"/>
      <c r="I32" s="9"/>
      <c r="J32" s="9"/>
      <c r="K32" s="9"/>
      <c r="L32" s="10" t="str">
        <f t="shared" si="1"/>
        <v/>
      </c>
      <c r="M32" s="9"/>
      <c r="N32" s="9"/>
      <c r="O32" s="9"/>
      <c r="P32" s="9"/>
      <c r="Q32" s="9"/>
      <c r="R32" s="9"/>
      <c r="S32" s="9"/>
      <c r="T32" s="9"/>
      <c r="U32" s="9"/>
      <c r="V32" s="10" t="str">
        <f t="shared" si="2"/>
        <v/>
      </c>
      <c r="W32" s="11" t="str">
        <f t="shared" si="3"/>
        <v/>
      </c>
      <c r="X32" s="11" t="str">
        <f t="shared" si="4"/>
        <v/>
      </c>
      <c r="Y32"/>
      <c r="AB32" s="42"/>
      <c r="AC32" s="42"/>
      <c r="AD32" s="42" t="str">
        <f t="shared" si="0"/>
        <v/>
      </c>
    </row>
    <row r="33" spans="1:30" x14ac:dyDescent="0.25">
      <c r="A33" s="12"/>
      <c r="B33" s="13"/>
      <c r="C33" s="9"/>
      <c r="D33" s="9"/>
      <c r="E33" s="9"/>
      <c r="F33" s="9"/>
      <c r="G33" s="9"/>
      <c r="H33" s="9"/>
      <c r="I33" s="9"/>
      <c r="J33" s="9"/>
      <c r="K33" s="9"/>
      <c r="L33" s="10" t="str">
        <f t="shared" si="1"/>
        <v/>
      </c>
      <c r="M33" s="9"/>
      <c r="N33" s="9"/>
      <c r="O33" s="9"/>
      <c r="P33" s="9"/>
      <c r="Q33" s="9"/>
      <c r="R33" s="9"/>
      <c r="S33" s="9"/>
      <c r="T33" s="9"/>
      <c r="U33" s="9"/>
      <c r="V33" s="10" t="str">
        <f t="shared" si="2"/>
        <v/>
      </c>
      <c r="W33" s="11" t="str">
        <f t="shared" si="3"/>
        <v/>
      </c>
      <c r="X33" s="11" t="str">
        <f t="shared" si="4"/>
        <v/>
      </c>
      <c r="Y33"/>
      <c r="AB33" s="42"/>
      <c r="AC33" s="42"/>
      <c r="AD33" s="42" t="str">
        <f t="shared" si="0"/>
        <v/>
      </c>
    </row>
    <row r="34" spans="1:30" x14ac:dyDescent="0.25">
      <c r="A34" s="12"/>
      <c r="B34" s="13"/>
      <c r="C34" s="9"/>
      <c r="D34" s="9"/>
      <c r="E34" s="9"/>
      <c r="F34" s="9"/>
      <c r="G34" s="9"/>
      <c r="H34" s="9"/>
      <c r="I34" s="9"/>
      <c r="J34" s="9"/>
      <c r="K34" s="9"/>
      <c r="L34" s="10" t="str">
        <f t="shared" si="1"/>
        <v/>
      </c>
      <c r="M34" s="9"/>
      <c r="N34" s="9"/>
      <c r="O34" s="9"/>
      <c r="P34" s="9"/>
      <c r="Q34" s="9"/>
      <c r="R34" s="9"/>
      <c r="S34" s="9"/>
      <c r="T34" s="9"/>
      <c r="U34" s="9"/>
      <c r="V34" s="10" t="str">
        <f t="shared" si="2"/>
        <v/>
      </c>
      <c r="W34" s="11" t="str">
        <f t="shared" si="3"/>
        <v/>
      </c>
      <c r="X34" s="11" t="str">
        <f t="shared" si="4"/>
        <v/>
      </c>
      <c r="Y34"/>
      <c r="AB34" s="42"/>
      <c r="AC34" s="42"/>
      <c r="AD34" s="42" t="str">
        <f t="shared" si="0"/>
        <v/>
      </c>
    </row>
    <row r="35" spans="1:30" x14ac:dyDescent="0.25">
      <c r="A35" s="12"/>
      <c r="B35" s="13"/>
      <c r="C35" s="9"/>
      <c r="D35" s="9"/>
      <c r="E35" s="9"/>
      <c r="F35" s="9"/>
      <c r="G35" s="9"/>
      <c r="H35" s="9"/>
      <c r="I35" s="9"/>
      <c r="J35" s="9"/>
      <c r="K35" s="9"/>
      <c r="L35" s="10" t="str">
        <f t="shared" si="1"/>
        <v/>
      </c>
      <c r="M35" s="9"/>
      <c r="N35" s="9"/>
      <c r="O35" s="9"/>
      <c r="P35" s="9"/>
      <c r="Q35" s="9"/>
      <c r="R35" s="9"/>
      <c r="S35" s="9"/>
      <c r="T35" s="9"/>
      <c r="U35" s="9"/>
      <c r="V35" s="10" t="str">
        <f t="shared" si="2"/>
        <v/>
      </c>
      <c r="W35" s="11" t="str">
        <f t="shared" si="3"/>
        <v/>
      </c>
      <c r="X35" s="11" t="str">
        <f t="shared" si="4"/>
        <v/>
      </c>
      <c r="Y35"/>
      <c r="AB35" s="42"/>
      <c r="AC35" s="42"/>
      <c r="AD35" s="42" t="str">
        <f t="shared" si="0"/>
        <v/>
      </c>
    </row>
    <row r="36" spans="1:30" x14ac:dyDescent="0.25">
      <c r="A36" s="12"/>
      <c r="B36" s="13"/>
      <c r="C36" s="9"/>
      <c r="D36" s="9"/>
      <c r="E36" s="9"/>
      <c r="F36" s="9"/>
      <c r="G36" s="9"/>
      <c r="H36" s="9"/>
      <c r="I36" s="9"/>
      <c r="J36" s="9"/>
      <c r="K36" s="9"/>
      <c r="L36" s="10" t="str">
        <f t="shared" si="1"/>
        <v/>
      </c>
      <c r="M36" s="9"/>
      <c r="N36" s="9"/>
      <c r="O36" s="9"/>
      <c r="P36" s="9"/>
      <c r="Q36" s="9"/>
      <c r="R36" s="9"/>
      <c r="S36" s="9"/>
      <c r="T36" s="9"/>
      <c r="U36" s="9"/>
      <c r="V36" s="10" t="str">
        <f t="shared" si="2"/>
        <v/>
      </c>
      <c r="W36" s="11" t="str">
        <f t="shared" si="3"/>
        <v/>
      </c>
      <c r="X36" s="11" t="str">
        <f t="shared" si="4"/>
        <v/>
      </c>
      <c r="Y36"/>
      <c r="AB36" s="42"/>
      <c r="AC36" s="42"/>
      <c r="AD36" s="42" t="str">
        <f t="shared" si="0"/>
        <v/>
      </c>
    </row>
    <row r="37" spans="1:30" x14ac:dyDescent="0.25">
      <c r="A37" s="12"/>
      <c r="B37" s="13"/>
      <c r="C37" s="9"/>
      <c r="D37" s="9"/>
      <c r="E37" s="9"/>
      <c r="F37" s="9"/>
      <c r="G37" s="9"/>
      <c r="H37" s="9"/>
      <c r="I37" s="9"/>
      <c r="J37" s="9"/>
      <c r="K37" s="9"/>
      <c r="L37" s="10" t="str">
        <f t="shared" si="1"/>
        <v/>
      </c>
      <c r="M37" s="9"/>
      <c r="N37" s="9"/>
      <c r="O37" s="9"/>
      <c r="P37" s="9"/>
      <c r="Q37" s="9"/>
      <c r="R37" s="9"/>
      <c r="S37" s="9"/>
      <c r="T37" s="9"/>
      <c r="U37" s="9"/>
      <c r="V37" s="10" t="str">
        <f t="shared" si="2"/>
        <v/>
      </c>
      <c r="W37" s="11" t="str">
        <f t="shared" si="3"/>
        <v/>
      </c>
      <c r="X37" s="11" t="str">
        <f t="shared" si="4"/>
        <v/>
      </c>
      <c r="Y37"/>
      <c r="AB37" s="42"/>
      <c r="AC37" s="42"/>
      <c r="AD37" s="42" t="str">
        <f t="shared" si="0"/>
        <v/>
      </c>
    </row>
    <row r="38" spans="1:30" x14ac:dyDescent="0.25">
      <c r="A38" s="12"/>
      <c r="B38" s="13"/>
      <c r="C38" s="9"/>
      <c r="D38" s="9"/>
      <c r="E38" s="9"/>
      <c r="F38" s="9"/>
      <c r="G38" s="9"/>
      <c r="H38" s="9"/>
      <c r="I38" s="9"/>
      <c r="J38" s="9"/>
      <c r="K38" s="9"/>
      <c r="L38" s="10" t="str">
        <f t="shared" si="1"/>
        <v/>
      </c>
      <c r="M38" s="9"/>
      <c r="N38" s="9"/>
      <c r="O38" s="9"/>
      <c r="P38" s="9"/>
      <c r="Q38" s="9"/>
      <c r="R38" s="9"/>
      <c r="S38" s="9"/>
      <c r="T38" s="9"/>
      <c r="U38" s="9"/>
      <c r="V38" s="10" t="str">
        <f t="shared" si="2"/>
        <v/>
      </c>
      <c r="W38" s="11" t="str">
        <f t="shared" si="3"/>
        <v/>
      </c>
      <c r="X38" s="11" t="str">
        <f t="shared" si="4"/>
        <v/>
      </c>
      <c r="Y38"/>
      <c r="AB38" s="42"/>
      <c r="AC38" s="42"/>
      <c r="AD38" s="42" t="str">
        <f t="shared" si="0"/>
        <v/>
      </c>
    </row>
    <row r="39" spans="1:30" x14ac:dyDescent="0.25">
      <c r="A39" s="12"/>
      <c r="B39" s="13"/>
      <c r="C39" s="9"/>
      <c r="D39" s="9"/>
      <c r="E39" s="9"/>
      <c r="F39" s="9"/>
      <c r="G39" s="9"/>
      <c r="H39" s="9"/>
      <c r="I39" s="9"/>
      <c r="J39" s="9"/>
      <c r="K39" s="9"/>
      <c r="L39" s="10" t="str">
        <f t="shared" si="1"/>
        <v/>
      </c>
      <c r="M39" s="9"/>
      <c r="N39" s="9"/>
      <c r="O39" s="9"/>
      <c r="P39" s="9"/>
      <c r="Q39" s="9"/>
      <c r="R39" s="9"/>
      <c r="S39" s="9"/>
      <c r="T39" s="9"/>
      <c r="U39" s="9"/>
      <c r="V39" s="10" t="str">
        <f t="shared" si="2"/>
        <v/>
      </c>
      <c r="W39" s="11" t="str">
        <f t="shared" si="3"/>
        <v/>
      </c>
      <c r="X39" s="11" t="str">
        <f t="shared" si="4"/>
        <v/>
      </c>
      <c r="Y39"/>
      <c r="AB39" s="42"/>
      <c r="AC39" s="42"/>
      <c r="AD39" s="42" t="str">
        <f t="shared" si="0"/>
        <v/>
      </c>
    </row>
    <row r="40" spans="1:30" x14ac:dyDescent="0.25">
      <c r="A40" s="12"/>
      <c r="B40" s="13"/>
      <c r="C40" s="9"/>
      <c r="D40" s="9"/>
      <c r="E40" s="9"/>
      <c r="F40" s="9"/>
      <c r="G40" s="9"/>
      <c r="H40" s="9"/>
      <c r="I40" s="9"/>
      <c r="J40" s="9"/>
      <c r="K40" s="9"/>
      <c r="L40" s="10" t="str">
        <f t="shared" si="1"/>
        <v/>
      </c>
      <c r="M40" s="9"/>
      <c r="N40" s="9"/>
      <c r="O40" s="9"/>
      <c r="P40" s="9"/>
      <c r="Q40" s="9"/>
      <c r="R40" s="9"/>
      <c r="S40" s="9"/>
      <c r="T40" s="9"/>
      <c r="U40" s="9"/>
      <c r="V40" s="10" t="str">
        <f t="shared" si="2"/>
        <v/>
      </c>
      <c r="W40" s="11" t="str">
        <f t="shared" si="3"/>
        <v/>
      </c>
      <c r="X40" s="11" t="str">
        <f t="shared" si="4"/>
        <v/>
      </c>
      <c r="Y40"/>
      <c r="AB40" s="42"/>
      <c r="AC40" s="42"/>
      <c r="AD40" s="42" t="str">
        <f t="shared" si="0"/>
        <v/>
      </c>
    </row>
    <row r="41" spans="1:30" x14ac:dyDescent="0.25">
      <c r="A41" s="12"/>
      <c r="B41" s="13"/>
      <c r="C41" s="9"/>
      <c r="D41" s="9"/>
      <c r="E41" s="9"/>
      <c r="F41" s="9"/>
      <c r="G41" s="9"/>
      <c r="H41" s="9"/>
      <c r="I41" s="9"/>
      <c r="J41" s="9"/>
      <c r="K41" s="9"/>
      <c r="L41" s="10" t="str">
        <f t="shared" si="1"/>
        <v/>
      </c>
      <c r="M41" s="9"/>
      <c r="N41" s="9"/>
      <c r="O41" s="9"/>
      <c r="P41" s="9"/>
      <c r="Q41" s="9"/>
      <c r="R41" s="9"/>
      <c r="S41" s="9"/>
      <c r="T41" s="9"/>
      <c r="U41" s="9"/>
      <c r="V41" s="10" t="str">
        <f t="shared" si="2"/>
        <v/>
      </c>
      <c r="W41" s="11" t="str">
        <f t="shared" si="3"/>
        <v/>
      </c>
      <c r="X41" s="11" t="str">
        <f t="shared" si="4"/>
        <v/>
      </c>
      <c r="Y41"/>
      <c r="AB41" s="42"/>
      <c r="AC41" s="42"/>
      <c r="AD41" s="42" t="str">
        <f t="shared" si="0"/>
        <v/>
      </c>
    </row>
    <row r="42" spans="1:30" x14ac:dyDescent="0.25">
      <c r="A42" s="12"/>
      <c r="B42" s="13"/>
      <c r="C42" s="9"/>
      <c r="D42" s="9"/>
      <c r="E42" s="9"/>
      <c r="F42" s="9"/>
      <c r="G42" s="9"/>
      <c r="H42" s="9"/>
      <c r="I42" s="9"/>
      <c r="J42" s="9"/>
      <c r="K42" s="9"/>
      <c r="L42" s="10" t="str">
        <f t="shared" si="1"/>
        <v/>
      </c>
      <c r="M42" s="9"/>
      <c r="N42" s="9"/>
      <c r="O42" s="9"/>
      <c r="P42" s="9"/>
      <c r="Q42" s="9"/>
      <c r="R42" s="9"/>
      <c r="S42" s="9"/>
      <c r="T42" s="9"/>
      <c r="U42" s="9"/>
      <c r="V42" s="10" t="str">
        <f t="shared" si="2"/>
        <v/>
      </c>
      <c r="W42" s="11" t="str">
        <f t="shared" si="3"/>
        <v/>
      </c>
      <c r="X42" s="11" t="str">
        <f t="shared" si="4"/>
        <v/>
      </c>
      <c r="Y42"/>
      <c r="AB42" s="42"/>
      <c r="AC42" s="42"/>
      <c r="AD42" s="42" t="str">
        <f t="shared" si="0"/>
        <v/>
      </c>
    </row>
    <row r="43" spans="1:30" x14ac:dyDescent="0.25">
      <c r="A43" s="12"/>
      <c r="B43" s="13"/>
      <c r="C43" s="9"/>
      <c r="D43" s="9"/>
      <c r="E43" s="9"/>
      <c r="F43" s="9"/>
      <c r="G43" s="9"/>
      <c r="H43" s="9"/>
      <c r="I43" s="9"/>
      <c r="J43" s="9"/>
      <c r="K43" s="9"/>
      <c r="L43" s="10" t="str">
        <f t="shared" ref="L43:L60" si="5">IF(C43&lt;&gt;"",SUM(C43:K43),"")</f>
        <v/>
      </c>
      <c r="M43" s="9"/>
      <c r="N43" s="9"/>
      <c r="O43" s="9"/>
      <c r="P43" s="9"/>
      <c r="Q43" s="9"/>
      <c r="R43" s="9"/>
      <c r="S43" s="9"/>
      <c r="T43" s="9"/>
      <c r="U43" s="9"/>
      <c r="V43" s="10" t="str">
        <f t="shared" si="2"/>
        <v/>
      </c>
      <c r="W43" s="11" t="str">
        <f t="shared" si="3"/>
        <v/>
      </c>
      <c r="X43" s="11" t="str">
        <f t="shared" si="4"/>
        <v/>
      </c>
      <c r="Y43"/>
      <c r="AB43" s="42"/>
      <c r="AC43" s="42"/>
      <c r="AD43" s="42" t="str">
        <f t="shared" si="0"/>
        <v/>
      </c>
    </row>
    <row r="44" spans="1:30" x14ac:dyDescent="0.25">
      <c r="A44" s="12"/>
      <c r="B44" s="13"/>
      <c r="C44" s="9"/>
      <c r="D44" s="9"/>
      <c r="E44" s="9"/>
      <c r="F44" s="9"/>
      <c r="G44" s="9"/>
      <c r="H44" s="9"/>
      <c r="I44" s="9"/>
      <c r="J44" s="9"/>
      <c r="K44" s="9"/>
      <c r="L44" s="10" t="str">
        <f t="shared" si="5"/>
        <v/>
      </c>
      <c r="M44" s="9"/>
      <c r="N44" s="9"/>
      <c r="O44" s="9"/>
      <c r="P44" s="9"/>
      <c r="Q44" s="9"/>
      <c r="R44" s="9"/>
      <c r="S44" s="9"/>
      <c r="T44" s="9"/>
      <c r="U44" s="9"/>
      <c r="V44" s="10" t="str">
        <f t="shared" si="2"/>
        <v/>
      </c>
      <c r="W44" s="11" t="str">
        <f t="shared" si="3"/>
        <v/>
      </c>
      <c r="X44" s="11" t="str">
        <f t="shared" si="4"/>
        <v/>
      </c>
      <c r="Y44"/>
      <c r="AB44" s="42"/>
      <c r="AC44" s="42"/>
      <c r="AD44" s="42" t="str">
        <f t="shared" si="0"/>
        <v/>
      </c>
    </row>
    <row r="45" spans="1:30" x14ac:dyDescent="0.25">
      <c r="A45" s="12"/>
      <c r="B45" s="13"/>
      <c r="C45" s="9"/>
      <c r="D45" s="9"/>
      <c r="E45" s="9"/>
      <c r="F45" s="9"/>
      <c r="G45" s="9"/>
      <c r="H45" s="9"/>
      <c r="I45" s="9"/>
      <c r="J45" s="9"/>
      <c r="K45" s="9"/>
      <c r="L45" s="10" t="str">
        <f t="shared" si="5"/>
        <v/>
      </c>
      <c r="M45" s="9"/>
      <c r="N45" s="9"/>
      <c r="O45" s="9"/>
      <c r="P45" s="9"/>
      <c r="Q45" s="9"/>
      <c r="R45" s="9"/>
      <c r="S45" s="9"/>
      <c r="T45" s="9"/>
      <c r="U45" s="9"/>
      <c r="V45" s="10" t="str">
        <f t="shared" si="2"/>
        <v/>
      </c>
      <c r="W45" s="11" t="str">
        <f t="shared" si="3"/>
        <v/>
      </c>
      <c r="X45" s="11" t="str">
        <f t="shared" si="4"/>
        <v/>
      </c>
      <c r="Y45"/>
      <c r="AB45" s="42"/>
      <c r="AC45" s="42"/>
      <c r="AD45" s="42" t="str">
        <f t="shared" si="0"/>
        <v/>
      </c>
    </row>
    <row r="46" spans="1:30" x14ac:dyDescent="0.25">
      <c r="A46" s="12"/>
      <c r="B46" s="13"/>
      <c r="C46" s="9"/>
      <c r="D46" s="9"/>
      <c r="E46" s="9"/>
      <c r="F46" s="9"/>
      <c r="G46" s="9"/>
      <c r="H46" s="9"/>
      <c r="I46" s="9"/>
      <c r="J46" s="9"/>
      <c r="K46" s="9"/>
      <c r="L46" s="10" t="str">
        <f t="shared" si="5"/>
        <v/>
      </c>
      <c r="M46" s="9"/>
      <c r="N46" s="9"/>
      <c r="O46" s="9"/>
      <c r="P46" s="9"/>
      <c r="Q46" s="9"/>
      <c r="R46" s="9"/>
      <c r="S46" s="9"/>
      <c r="T46" s="9"/>
      <c r="U46" s="9"/>
      <c r="V46" s="10" t="str">
        <f t="shared" si="2"/>
        <v/>
      </c>
      <c r="W46" s="11" t="str">
        <f t="shared" si="3"/>
        <v/>
      </c>
      <c r="X46" s="11" t="str">
        <f t="shared" si="4"/>
        <v/>
      </c>
      <c r="Y46"/>
      <c r="AB46" s="42"/>
      <c r="AC46" s="42"/>
      <c r="AD46" s="42" t="str">
        <f t="shared" si="0"/>
        <v/>
      </c>
    </row>
    <row r="47" spans="1:30" x14ac:dyDescent="0.25">
      <c r="A47" s="12"/>
      <c r="B47" s="13"/>
      <c r="C47" s="9"/>
      <c r="D47" s="9"/>
      <c r="E47" s="9"/>
      <c r="F47" s="9"/>
      <c r="G47" s="9"/>
      <c r="H47" s="9"/>
      <c r="I47" s="9"/>
      <c r="J47" s="9"/>
      <c r="K47" s="9"/>
      <c r="L47" s="10" t="str">
        <f t="shared" si="5"/>
        <v/>
      </c>
      <c r="M47" s="9"/>
      <c r="N47" s="9"/>
      <c r="O47" s="9"/>
      <c r="P47" s="9"/>
      <c r="Q47" s="9"/>
      <c r="R47" s="9"/>
      <c r="S47" s="9"/>
      <c r="T47" s="9"/>
      <c r="U47" s="9"/>
      <c r="V47" s="10" t="str">
        <f t="shared" si="2"/>
        <v/>
      </c>
      <c r="W47" s="11" t="str">
        <f t="shared" si="3"/>
        <v/>
      </c>
      <c r="X47" s="11" t="str">
        <f t="shared" si="4"/>
        <v/>
      </c>
      <c r="Y47"/>
      <c r="AB47" s="42"/>
      <c r="AC47" s="42"/>
      <c r="AD47" s="42" t="str">
        <f t="shared" si="0"/>
        <v/>
      </c>
    </row>
    <row r="48" spans="1:30" x14ac:dyDescent="0.25">
      <c r="A48" s="12"/>
      <c r="B48" s="13"/>
      <c r="C48" s="9"/>
      <c r="D48" s="9"/>
      <c r="E48" s="9"/>
      <c r="F48" s="9"/>
      <c r="G48" s="9"/>
      <c r="H48" s="9"/>
      <c r="I48" s="9"/>
      <c r="J48" s="9"/>
      <c r="K48" s="9"/>
      <c r="L48" s="10" t="str">
        <f t="shared" si="5"/>
        <v/>
      </c>
      <c r="M48" s="9"/>
      <c r="N48" s="9"/>
      <c r="O48" s="9"/>
      <c r="P48" s="9"/>
      <c r="Q48" s="9"/>
      <c r="R48" s="9"/>
      <c r="S48" s="9"/>
      <c r="T48" s="9"/>
      <c r="U48" s="9"/>
      <c r="V48" s="10" t="str">
        <f t="shared" si="2"/>
        <v/>
      </c>
      <c r="W48" s="11" t="str">
        <f t="shared" si="3"/>
        <v/>
      </c>
      <c r="X48" s="11" t="str">
        <f t="shared" si="4"/>
        <v/>
      </c>
      <c r="Y48"/>
      <c r="AB48" s="42"/>
      <c r="AC48" s="42"/>
      <c r="AD48" s="42" t="str">
        <f t="shared" si="0"/>
        <v/>
      </c>
    </row>
    <row r="49" spans="1:30" x14ac:dyDescent="0.25">
      <c r="A49" s="12"/>
      <c r="B49" s="13"/>
      <c r="C49" s="9"/>
      <c r="D49" s="9"/>
      <c r="E49" s="9"/>
      <c r="F49" s="9"/>
      <c r="G49" s="9"/>
      <c r="H49" s="9"/>
      <c r="I49" s="9"/>
      <c r="J49" s="9"/>
      <c r="K49" s="9"/>
      <c r="L49" s="10" t="str">
        <f t="shared" si="5"/>
        <v/>
      </c>
      <c r="M49" s="9"/>
      <c r="N49" s="9"/>
      <c r="O49" s="9"/>
      <c r="P49" s="9"/>
      <c r="Q49" s="9"/>
      <c r="R49" s="9"/>
      <c r="S49" s="9"/>
      <c r="T49" s="9"/>
      <c r="U49" s="9"/>
      <c r="V49" s="10" t="str">
        <f t="shared" si="2"/>
        <v/>
      </c>
      <c r="W49" s="11" t="str">
        <f t="shared" si="3"/>
        <v/>
      </c>
      <c r="X49" s="11" t="str">
        <f t="shared" si="4"/>
        <v/>
      </c>
      <c r="Y49"/>
      <c r="AB49" s="42"/>
      <c r="AC49" s="42"/>
      <c r="AD49" s="42" t="str">
        <f t="shared" si="0"/>
        <v/>
      </c>
    </row>
    <row r="50" spans="1:30" x14ac:dyDescent="0.25">
      <c r="A50" s="12"/>
      <c r="B50" s="13"/>
      <c r="C50" s="9"/>
      <c r="D50" s="9"/>
      <c r="E50" s="9"/>
      <c r="F50" s="9"/>
      <c r="G50" s="9"/>
      <c r="H50" s="9"/>
      <c r="I50" s="9"/>
      <c r="J50" s="9"/>
      <c r="K50" s="9"/>
      <c r="L50" s="10" t="str">
        <f t="shared" si="5"/>
        <v/>
      </c>
      <c r="M50" s="9"/>
      <c r="N50" s="9"/>
      <c r="O50" s="9"/>
      <c r="P50" s="9"/>
      <c r="Q50" s="9"/>
      <c r="R50" s="9"/>
      <c r="S50" s="9"/>
      <c r="T50" s="9"/>
      <c r="U50" s="9"/>
      <c r="V50" s="10" t="str">
        <f t="shared" si="2"/>
        <v/>
      </c>
      <c r="W50" s="11" t="str">
        <f t="shared" si="3"/>
        <v/>
      </c>
      <c r="X50" s="11" t="str">
        <f t="shared" si="4"/>
        <v/>
      </c>
      <c r="Y50"/>
      <c r="AB50" s="42"/>
      <c r="AC50" s="42"/>
      <c r="AD50" s="42" t="str">
        <f t="shared" si="0"/>
        <v/>
      </c>
    </row>
    <row r="51" spans="1:30" x14ac:dyDescent="0.25">
      <c r="A51" s="12"/>
      <c r="B51" s="13"/>
      <c r="C51" s="9"/>
      <c r="D51" s="9"/>
      <c r="E51" s="9"/>
      <c r="F51" s="9"/>
      <c r="G51" s="9"/>
      <c r="H51" s="9"/>
      <c r="I51" s="9"/>
      <c r="J51" s="9"/>
      <c r="K51" s="9"/>
      <c r="L51" s="10" t="str">
        <f t="shared" si="5"/>
        <v/>
      </c>
      <c r="M51" s="9"/>
      <c r="N51" s="9"/>
      <c r="O51" s="9"/>
      <c r="P51" s="9"/>
      <c r="Q51" s="9"/>
      <c r="R51" s="9"/>
      <c r="S51" s="9"/>
      <c r="T51" s="9"/>
      <c r="U51" s="9"/>
      <c r="V51" s="10" t="str">
        <f t="shared" si="2"/>
        <v/>
      </c>
      <c r="W51" s="11" t="str">
        <f t="shared" si="3"/>
        <v/>
      </c>
      <c r="X51" s="11" t="str">
        <f t="shared" si="4"/>
        <v/>
      </c>
      <c r="Y51"/>
      <c r="AB51" s="42"/>
      <c r="AC51" s="42"/>
      <c r="AD51" s="42" t="str">
        <f t="shared" si="0"/>
        <v/>
      </c>
    </row>
    <row r="52" spans="1:30" x14ac:dyDescent="0.25">
      <c r="A52" s="12"/>
      <c r="B52" s="13"/>
      <c r="C52" s="9"/>
      <c r="D52" s="9"/>
      <c r="E52" s="9"/>
      <c r="F52" s="9"/>
      <c r="G52" s="9"/>
      <c r="H52" s="9"/>
      <c r="I52" s="9"/>
      <c r="J52" s="9"/>
      <c r="K52" s="9"/>
      <c r="L52" s="10" t="str">
        <f t="shared" si="5"/>
        <v/>
      </c>
      <c r="M52" s="9"/>
      <c r="N52" s="9"/>
      <c r="O52" s="9"/>
      <c r="P52" s="9"/>
      <c r="Q52" s="9"/>
      <c r="R52" s="9"/>
      <c r="S52" s="9"/>
      <c r="T52" s="9"/>
      <c r="U52" s="9"/>
      <c r="V52" s="10" t="str">
        <f t="shared" si="2"/>
        <v/>
      </c>
      <c r="W52" s="11" t="str">
        <f t="shared" si="3"/>
        <v/>
      </c>
      <c r="X52" s="11" t="str">
        <f t="shared" si="4"/>
        <v/>
      </c>
      <c r="Y52"/>
      <c r="AB52" s="42"/>
      <c r="AC52" s="42"/>
      <c r="AD52" s="42" t="str">
        <f t="shared" si="0"/>
        <v/>
      </c>
    </row>
    <row r="53" spans="1:30" x14ac:dyDescent="0.25">
      <c r="A53" s="12"/>
      <c r="B53" s="13"/>
      <c r="C53" s="9"/>
      <c r="D53" s="9"/>
      <c r="E53" s="9"/>
      <c r="F53" s="9"/>
      <c r="G53" s="9"/>
      <c r="H53" s="9"/>
      <c r="I53" s="9"/>
      <c r="J53" s="9"/>
      <c r="K53" s="9"/>
      <c r="L53" s="10" t="str">
        <f t="shared" si="5"/>
        <v/>
      </c>
      <c r="M53" s="9"/>
      <c r="N53" s="9"/>
      <c r="O53" s="9"/>
      <c r="P53" s="9"/>
      <c r="Q53" s="9"/>
      <c r="R53" s="9"/>
      <c r="S53" s="9"/>
      <c r="T53" s="9"/>
      <c r="U53" s="9"/>
      <c r="V53" s="10" t="str">
        <f t="shared" si="2"/>
        <v/>
      </c>
      <c r="W53" s="11" t="str">
        <f t="shared" si="3"/>
        <v/>
      </c>
      <c r="X53" s="11" t="str">
        <f t="shared" si="4"/>
        <v/>
      </c>
      <c r="Y53"/>
      <c r="AB53" s="42"/>
      <c r="AC53" s="42"/>
      <c r="AD53" s="42" t="str">
        <f t="shared" si="0"/>
        <v/>
      </c>
    </row>
    <row r="54" spans="1:30" x14ac:dyDescent="0.25">
      <c r="A54" s="12"/>
      <c r="B54" s="13"/>
      <c r="C54" s="9"/>
      <c r="D54" s="9"/>
      <c r="E54" s="9"/>
      <c r="F54" s="9"/>
      <c r="G54" s="9"/>
      <c r="H54" s="9"/>
      <c r="I54" s="9"/>
      <c r="J54" s="9"/>
      <c r="K54" s="9"/>
      <c r="L54" s="10" t="str">
        <f t="shared" si="5"/>
        <v/>
      </c>
      <c r="M54" s="9"/>
      <c r="N54" s="9"/>
      <c r="O54" s="9"/>
      <c r="P54" s="9"/>
      <c r="Q54" s="9"/>
      <c r="R54" s="9"/>
      <c r="S54" s="9"/>
      <c r="T54" s="9"/>
      <c r="U54" s="9"/>
      <c r="V54" s="10" t="str">
        <f t="shared" si="2"/>
        <v/>
      </c>
      <c r="W54" s="11" t="str">
        <f t="shared" si="3"/>
        <v/>
      </c>
      <c r="X54" s="11" t="str">
        <f t="shared" si="4"/>
        <v/>
      </c>
      <c r="Y54"/>
      <c r="AB54" s="42"/>
      <c r="AC54" s="42"/>
      <c r="AD54" s="42" t="str">
        <f t="shared" si="0"/>
        <v/>
      </c>
    </row>
    <row r="55" spans="1:30" x14ac:dyDescent="0.25">
      <c r="A55" s="12"/>
      <c r="B55" s="13"/>
      <c r="C55" s="9"/>
      <c r="D55" s="9"/>
      <c r="E55" s="9"/>
      <c r="F55" s="9"/>
      <c r="G55" s="9"/>
      <c r="H55" s="9"/>
      <c r="I55" s="9"/>
      <c r="J55" s="9"/>
      <c r="K55" s="9"/>
      <c r="L55" s="10" t="str">
        <f t="shared" si="5"/>
        <v/>
      </c>
      <c r="M55" s="9"/>
      <c r="N55" s="9"/>
      <c r="O55" s="9"/>
      <c r="P55" s="9"/>
      <c r="Q55" s="9"/>
      <c r="R55" s="9"/>
      <c r="S55" s="9"/>
      <c r="T55" s="9"/>
      <c r="U55" s="9"/>
      <c r="V55" s="10" t="str">
        <f t="shared" si="2"/>
        <v/>
      </c>
      <c r="W55" s="11" t="str">
        <f t="shared" si="3"/>
        <v/>
      </c>
      <c r="X55" s="11" t="str">
        <f t="shared" si="4"/>
        <v/>
      </c>
      <c r="Y55"/>
      <c r="AB55" s="42"/>
      <c r="AC55" s="42"/>
      <c r="AD55" s="42" t="str">
        <f t="shared" si="0"/>
        <v/>
      </c>
    </row>
    <row r="56" spans="1:30" x14ac:dyDescent="0.25">
      <c r="A56" s="12"/>
      <c r="B56" s="13"/>
      <c r="C56" s="9"/>
      <c r="D56" s="9"/>
      <c r="E56" s="9"/>
      <c r="F56" s="9"/>
      <c r="G56" s="9"/>
      <c r="H56" s="9"/>
      <c r="I56" s="9"/>
      <c r="J56" s="9"/>
      <c r="K56" s="9"/>
      <c r="L56" s="10" t="str">
        <f t="shared" si="5"/>
        <v/>
      </c>
      <c r="M56" s="9"/>
      <c r="N56" s="9"/>
      <c r="O56" s="9"/>
      <c r="P56" s="9"/>
      <c r="Q56" s="9"/>
      <c r="R56" s="9"/>
      <c r="S56" s="9"/>
      <c r="T56" s="9"/>
      <c r="U56" s="9"/>
      <c r="V56" s="10" t="str">
        <f t="shared" si="2"/>
        <v/>
      </c>
      <c r="W56" s="11" t="str">
        <f t="shared" si="3"/>
        <v/>
      </c>
      <c r="X56" s="11" t="str">
        <f t="shared" si="4"/>
        <v/>
      </c>
      <c r="Y56"/>
      <c r="AB56" s="42"/>
      <c r="AC56" s="42"/>
      <c r="AD56" s="42" t="str">
        <f t="shared" si="0"/>
        <v/>
      </c>
    </row>
    <row r="57" spans="1:30" x14ac:dyDescent="0.25">
      <c r="A57" s="12"/>
      <c r="B57" s="13"/>
      <c r="C57" s="9"/>
      <c r="D57" s="9"/>
      <c r="E57" s="9"/>
      <c r="F57" s="9"/>
      <c r="G57" s="9"/>
      <c r="H57" s="9"/>
      <c r="I57" s="9"/>
      <c r="J57" s="9"/>
      <c r="K57" s="9"/>
      <c r="L57" s="10" t="str">
        <f t="shared" si="5"/>
        <v/>
      </c>
      <c r="M57" s="9"/>
      <c r="N57" s="9"/>
      <c r="O57" s="9"/>
      <c r="P57" s="9"/>
      <c r="Q57" s="9"/>
      <c r="R57" s="9"/>
      <c r="S57" s="9"/>
      <c r="T57" s="9"/>
      <c r="U57" s="9"/>
      <c r="V57" s="10" t="str">
        <f t="shared" si="2"/>
        <v/>
      </c>
      <c r="W57" s="11" t="str">
        <f t="shared" si="3"/>
        <v/>
      </c>
      <c r="X57" s="11" t="str">
        <f t="shared" si="4"/>
        <v/>
      </c>
      <c r="Y57"/>
      <c r="AB57" s="42"/>
      <c r="AC57" s="42"/>
      <c r="AD57" s="42" t="str">
        <f t="shared" si="0"/>
        <v/>
      </c>
    </row>
    <row r="58" spans="1:30" x14ac:dyDescent="0.25">
      <c r="A58" s="12"/>
      <c r="B58" s="13"/>
      <c r="C58" s="9"/>
      <c r="D58" s="9"/>
      <c r="E58" s="9"/>
      <c r="F58" s="9"/>
      <c r="G58" s="9"/>
      <c r="H58" s="9"/>
      <c r="I58" s="9"/>
      <c r="J58" s="9"/>
      <c r="K58" s="9"/>
      <c r="L58" s="10" t="str">
        <f t="shared" si="5"/>
        <v/>
      </c>
      <c r="M58" s="9"/>
      <c r="N58" s="9"/>
      <c r="O58" s="9"/>
      <c r="P58" s="9"/>
      <c r="Q58" s="9"/>
      <c r="R58" s="9"/>
      <c r="S58" s="9"/>
      <c r="T58" s="9"/>
      <c r="U58" s="9"/>
      <c r="V58" s="10" t="str">
        <f t="shared" si="2"/>
        <v/>
      </c>
      <c r="W58" s="11" t="str">
        <f t="shared" si="3"/>
        <v/>
      </c>
      <c r="X58" s="11" t="str">
        <f t="shared" si="4"/>
        <v/>
      </c>
      <c r="Y58"/>
      <c r="AB58" s="42"/>
      <c r="AC58" s="42"/>
      <c r="AD58" s="42" t="str">
        <f t="shared" si="0"/>
        <v/>
      </c>
    </row>
    <row r="59" spans="1:30" x14ac:dyDescent="0.25">
      <c r="A59" s="12"/>
      <c r="B59" s="13"/>
      <c r="C59" s="9"/>
      <c r="D59" s="9"/>
      <c r="E59" s="9"/>
      <c r="F59" s="9"/>
      <c r="G59" s="9"/>
      <c r="H59" s="9"/>
      <c r="I59" s="9"/>
      <c r="J59" s="9"/>
      <c r="K59" s="9"/>
      <c r="L59" s="10" t="str">
        <f t="shared" si="5"/>
        <v/>
      </c>
      <c r="M59" s="9"/>
      <c r="N59" s="9"/>
      <c r="O59" s="9"/>
      <c r="P59" s="9"/>
      <c r="Q59" s="9"/>
      <c r="R59" s="9"/>
      <c r="S59" s="9"/>
      <c r="T59" s="9"/>
      <c r="U59" s="9"/>
      <c r="V59" s="10" t="str">
        <f t="shared" si="2"/>
        <v/>
      </c>
      <c r="W59" s="11" t="str">
        <f t="shared" si="3"/>
        <v/>
      </c>
      <c r="X59" s="11" t="str">
        <f t="shared" si="4"/>
        <v/>
      </c>
      <c r="Y59"/>
      <c r="AB59" s="42"/>
      <c r="AC59" s="42"/>
      <c r="AD59" s="42" t="str">
        <f t="shared" si="0"/>
        <v/>
      </c>
    </row>
    <row r="60" spans="1:30" x14ac:dyDescent="0.25">
      <c r="A60" s="45"/>
      <c r="B60" s="14"/>
      <c r="C60" s="15"/>
      <c r="D60" s="15"/>
      <c r="E60" s="15"/>
      <c r="F60" s="15"/>
      <c r="G60" s="15"/>
      <c r="H60" s="15"/>
      <c r="I60" s="15"/>
      <c r="J60" s="15"/>
      <c r="K60" s="15"/>
      <c r="L60" s="16" t="str">
        <f t="shared" si="5"/>
        <v/>
      </c>
      <c r="M60" s="15"/>
      <c r="N60" s="15"/>
      <c r="O60" s="15"/>
      <c r="P60" s="15"/>
      <c r="Q60" s="15"/>
      <c r="R60" s="15"/>
      <c r="S60" s="15"/>
      <c r="T60" s="15"/>
      <c r="U60" s="15"/>
      <c r="V60" s="16" t="str">
        <f t="shared" si="2"/>
        <v/>
      </c>
      <c r="W60" s="17" t="str">
        <f t="shared" si="3"/>
        <v/>
      </c>
      <c r="X60" s="17" t="str">
        <f t="shared" si="4"/>
        <v/>
      </c>
      <c r="Y60"/>
      <c r="AB60" s="42"/>
      <c r="AC60" s="42"/>
      <c r="AD60" s="42" t="str">
        <f t="shared" si="0"/>
        <v/>
      </c>
    </row>
  </sheetData>
  <sheetProtection sheet="1" objects="1" scenarios="1" selectLockedCells="1"/>
  <mergeCells count="47">
    <mergeCell ref="B1:C1"/>
    <mergeCell ref="D1:E1"/>
    <mergeCell ref="G1:L1"/>
    <mergeCell ref="M1:N1"/>
    <mergeCell ref="P1:V1"/>
    <mergeCell ref="R2:S2"/>
    <mergeCell ref="T2:U2"/>
    <mergeCell ref="B3:C3"/>
    <mergeCell ref="D3:E3"/>
    <mergeCell ref="G3:L3"/>
    <mergeCell ref="M3:N3"/>
    <mergeCell ref="P3:Q3"/>
    <mergeCell ref="R3:S3"/>
    <mergeCell ref="T3:U3"/>
    <mergeCell ref="B2:C2"/>
    <mergeCell ref="D2:E2"/>
    <mergeCell ref="G2:L2"/>
    <mergeCell ref="M2:N2"/>
    <mergeCell ref="P2:Q2"/>
    <mergeCell ref="T4:U4"/>
    <mergeCell ref="B5:C5"/>
    <mergeCell ref="D5:E5"/>
    <mergeCell ref="G5:L5"/>
    <mergeCell ref="M5:N5"/>
    <mergeCell ref="P5:Q5"/>
    <mergeCell ref="R5:S5"/>
    <mergeCell ref="T5:U5"/>
    <mergeCell ref="B4:C4"/>
    <mergeCell ref="D4:E4"/>
    <mergeCell ref="G4:L4"/>
    <mergeCell ref="M4:N4"/>
    <mergeCell ref="P4:Q4"/>
    <mergeCell ref="R4:S4"/>
    <mergeCell ref="T6:U6"/>
    <mergeCell ref="B7:C7"/>
    <mergeCell ref="D7:E7"/>
    <mergeCell ref="G7:L7"/>
    <mergeCell ref="M7:N7"/>
    <mergeCell ref="P7:Q7"/>
    <mergeCell ref="R7:S7"/>
    <mergeCell ref="T7:U7"/>
    <mergeCell ref="B6:C6"/>
    <mergeCell ref="D6:E6"/>
    <mergeCell ref="G6:L6"/>
    <mergeCell ref="M6:N6"/>
    <mergeCell ref="P6:Q6"/>
    <mergeCell ref="R6:S6"/>
  </mergeCells>
  <dataValidations count="1">
    <dataValidation type="list" allowBlank="1" showInputMessage="1" showErrorMessage="1" sqref="B11:B60" xr:uid="{00000000-0002-0000-0500-000000000000}">
      <formula1>$AB:$AB</formula1>
    </dataValidation>
  </dataValidations>
  <printOptions horizontalCentered="1"/>
  <pageMargins left="0.7" right="0.7" top="0.75" bottom="0.75" header="0.3" footer="0.3"/>
  <pageSetup scale="76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D60"/>
  <sheetViews>
    <sheetView workbookViewId="0">
      <pane ySplit="10" topLeftCell="A11" activePane="bottomLeft" state="frozen"/>
      <selection pane="bottomLeft" activeCell="A15" sqref="A15"/>
    </sheetView>
  </sheetViews>
  <sheetFormatPr defaultRowHeight="15" x14ac:dyDescent="0.25"/>
  <cols>
    <col min="1" max="1" width="9.85546875" customWidth="1"/>
    <col min="2" max="2" width="16.42578125" customWidth="1"/>
    <col min="3" max="3" width="3" customWidth="1"/>
    <col min="4" max="11" width="3" style="1" customWidth="1"/>
    <col min="12" max="12" width="5.28515625" style="1" customWidth="1"/>
    <col min="13" max="21" width="3" style="1" customWidth="1"/>
    <col min="22" max="24" width="5.28515625" style="1" customWidth="1"/>
    <col min="25" max="25" width="2" style="1" customWidth="1"/>
    <col min="26" max="26" width="10.5703125" bestFit="1" customWidth="1"/>
    <col min="27" max="27" width="10.7109375" customWidth="1"/>
    <col min="28" max="28" width="19.85546875" style="44" customWidth="1"/>
    <col min="29" max="29" width="4.5703125" style="44" bestFit="1" customWidth="1"/>
    <col min="30" max="30" width="4.28515625" style="44" bestFit="1" customWidth="1"/>
  </cols>
  <sheetData>
    <row r="1" spans="1:30" x14ac:dyDescent="0.25">
      <c r="A1" s="2"/>
      <c r="B1" s="48" t="s">
        <v>39</v>
      </c>
      <c r="C1" s="49"/>
      <c r="D1" s="50">
        <f>ROUND(AVERAGE(W11:W60),0)</f>
        <v>92</v>
      </c>
      <c r="E1" s="51"/>
      <c r="G1" s="57" t="s">
        <v>2</v>
      </c>
      <c r="H1" s="58"/>
      <c r="I1" s="58"/>
      <c r="J1" s="58"/>
      <c r="K1" s="58"/>
      <c r="L1" s="58"/>
      <c r="M1" s="59">
        <f>MIN(W11:W60)</f>
        <v>88</v>
      </c>
      <c r="N1" s="60"/>
      <c r="P1" s="61" t="s">
        <v>0</v>
      </c>
      <c r="Q1" s="62"/>
      <c r="R1" s="62"/>
      <c r="S1" s="62"/>
      <c r="T1" s="62"/>
      <c r="U1" s="62"/>
      <c r="V1" s="63"/>
      <c r="Z1" s="35"/>
      <c r="AA1" s="35"/>
      <c r="AB1" s="41" t="s">
        <v>37</v>
      </c>
      <c r="AC1" s="41" t="s">
        <v>35</v>
      </c>
      <c r="AD1" s="41" t="s">
        <v>36</v>
      </c>
    </row>
    <row r="2" spans="1:30" x14ac:dyDescent="0.25">
      <c r="A2" s="2"/>
      <c r="B2" s="48" t="s">
        <v>42</v>
      </c>
      <c r="C2" s="49"/>
      <c r="D2" s="50">
        <f>AVERAGEIF(X:X,"&gt;0")</f>
        <v>19.75</v>
      </c>
      <c r="E2" s="51"/>
      <c r="G2" s="48"/>
      <c r="H2" s="49"/>
      <c r="I2" s="49"/>
      <c r="J2" s="49"/>
      <c r="K2" s="49"/>
      <c r="L2" s="49"/>
      <c r="M2" s="54"/>
      <c r="N2" s="55"/>
      <c r="P2" s="46" t="s">
        <v>3</v>
      </c>
      <c r="Q2" s="47"/>
      <c r="R2" s="53">
        <v>260</v>
      </c>
      <c r="S2" s="53"/>
      <c r="T2" s="52" t="s">
        <v>4</v>
      </c>
      <c r="U2" s="47"/>
      <c r="V2" s="3">
        <v>160</v>
      </c>
      <c r="Z2" s="36"/>
      <c r="AA2" s="36"/>
      <c r="AB2" s="42"/>
      <c r="AC2" s="42"/>
      <c r="AD2" s="42" t="str">
        <f>IF(AC2&lt;&gt;"",AC2-72,"")</f>
        <v/>
      </c>
    </row>
    <row r="3" spans="1:30" x14ac:dyDescent="0.25">
      <c r="A3" s="2"/>
      <c r="B3" s="48" t="s">
        <v>10</v>
      </c>
      <c r="C3" s="49"/>
      <c r="D3" s="50">
        <f>COUNTIF(C11:V60,-1)</f>
        <v>2</v>
      </c>
      <c r="E3" s="51"/>
      <c r="G3" s="48" t="s">
        <v>11</v>
      </c>
      <c r="H3" s="49"/>
      <c r="I3" s="49"/>
      <c r="J3" s="49"/>
      <c r="K3" s="49"/>
      <c r="L3" s="49"/>
      <c r="M3" s="54">
        <f>D3/$M$7</f>
        <v>2.7777777777777776E-2</v>
      </c>
      <c r="N3" s="55"/>
      <c r="P3" s="46" t="s">
        <v>7</v>
      </c>
      <c r="Q3" s="47"/>
      <c r="R3" s="53">
        <v>210</v>
      </c>
      <c r="S3" s="53"/>
      <c r="T3" s="52" t="s">
        <v>8</v>
      </c>
      <c r="U3" s="47"/>
      <c r="V3" s="3">
        <v>150</v>
      </c>
      <c r="Z3" s="36"/>
      <c r="AA3" s="36"/>
      <c r="AB3" s="42" t="s">
        <v>9</v>
      </c>
      <c r="AC3" s="42">
        <v>72</v>
      </c>
      <c r="AD3" s="42">
        <f t="shared" ref="AD3:AD60" si="0">IF(AC3&lt;&gt;"",AC3-72,"")</f>
        <v>0</v>
      </c>
    </row>
    <row r="4" spans="1:30" x14ac:dyDescent="0.25">
      <c r="B4" s="48" t="s">
        <v>15</v>
      </c>
      <c r="C4" s="49"/>
      <c r="D4" s="50">
        <f>COUNTIF(C11:V60,0)</f>
        <v>13</v>
      </c>
      <c r="E4" s="51"/>
      <c r="G4" s="48" t="s">
        <v>16</v>
      </c>
      <c r="H4" s="49"/>
      <c r="I4" s="49"/>
      <c r="J4" s="49"/>
      <c r="K4" s="49"/>
      <c r="L4" s="49"/>
      <c r="M4" s="54">
        <f>D4/$M$7</f>
        <v>0.18055555555555555</v>
      </c>
      <c r="N4" s="55"/>
      <c r="P4" s="46" t="s">
        <v>12</v>
      </c>
      <c r="Q4" s="47"/>
      <c r="R4" s="53"/>
      <c r="S4" s="53"/>
      <c r="T4" s="52" t="s">
        <v>13</v>
      </c>
      <c r="U4" s="47"/>
      <c r="V4" s="3">
        <v>140</v>
      </c>
      <c r="Z4" s="36"/>
      <c r="AA4" s="36"/>
      <c r="AB4" s="42" t="s">
        <v>24</v>
      </c>
      <c r="AC4" s="42">
        <v>72</v>
      </c>
      <c r="AD4" s="42">
        <f t="shared" si="0"/>
        <v>0</v>
      </c>
    </row>
    <row r="5" spans="1:30" x14ac:dyDescent="0.25">
      <c r="B5" s="48" t="s">
        <v>20</v>
      </c>
      <c r="C5" s="49"/>
      <c r="D5" s="50">
        <f>COUNTIF(C11:V60,1)</f>
        <v>40</v>
      </c>
      <c r="E5" s="51"/>
      <c r="G5" s="48" t="s">
        <v>21</v>
      </c>
      <c r="H5" s="49"/>
      <c r="I5" s="49"/>
      <c r="J5" s="49"/>
      <c r="K5" s="49"/>
      <c r="L5" s="49"/>
      <c r="M5" s="54">
        <f>D5/$M$7</f>
        <v>0.55555555555555558</v>
      </c>
      <c r="N5" s="55"/>
      <c r="P5" s="56" t="s">
        <v>17</v>
      </c>
      <c r="Q5" s="47"/>
      <c r="R5" s="53"/>
      <c r="S5" s="53"/>
      <c r="T5" s="52" t="s">
        <v>18</v>
      </c>
      <c r="U5" s="47"/>
      <c r="V5" s="3">
        <v>130</v>
      </c>
      <c r="Z5" s="36"/>
      <c r="AA5" s="36"/>
      <c r="AB5" s="42" t="s">
        <v>19</v>
      </c>
      <c r="AC5" s="42">
        <v>72</v>
      </c>
      <c r="AD5" s="42">
        <f t="shared" si="0"/>
        <v>0</v>
      </c>
    </row>
    <row r="6" spans="1:30" x14ac:dyDescent="0.25">
      <c r="B6" s="48" t="s">
        <v>25</v>
      </c>
      <c r="C6" s="49"/>
      <c r="D6" s="50">
        <f>COUNTIF(C11:V60,2)</f>
        <v>11</v>
      </c>
      <c r="E6" s="51"/>
      <c r="G6" s="48" t="s">
        <v>26</v>
      </c>
      <c r="H6" s="49"/>
      <c r="I6" s="49"/>
      <c r="J6" s="49"/>
      <c r="K6" s="49"/>
      <c r="L6" s="49"/>
      <c r="M6" s="54">
        <f>D6/$M$7</f>
        <v>0.15277777777777779</v>
      </c>
      <c r="N6" s="55"/>
      <c r="P6" s="56" t="s">
        <v>22</v>
      </c>
      <c r="Q6" s="47"/>
      <c r="R6" s="53">
        <v>180</v>
      </c>
      <c r="S6" s="53"/>
      <c r="T6" s="46" t="s">
        <v>23</v>
      </c>
      <c r="U6" s="47"/>
      <c r="V6" s="3">
        <v>120</v>
      </c>
      <c r="Z6" s="36"/>
      <c r="AA6" s="36"/>
      <c r="AB6" s="42" t="s">
        <v>34</v>
      </c>
      <c r="AC6" s="42">
        <v>70</v>
      </c>
      <c r="AD6" s="42">
        <f t="shared" si="0"/>
        <v>-2</v>
      </c>
    </row>
    <row r="7" spans="1:30" x14ac:dyDescent="0.25">
      <c r="B7" s="48" t="s">
        <v>40</v>
      </c>
      <c r="C7" s="49"/>
      <c r="D7" s="50">
        <f>COUNTA(A10:A60)-1</f>
        <v>4</v>
      </c>
      <c r="E7" s="51"/>
      <c r="G7" s="48" t="s">
        <v>38</v>
      </c>
      <c r="H7" s="49"/>
      <c r="I7" s="49"/>
      <c r="J7" s="49"/>
      <c r="K7" s="49"/>
      <c r="L7" s="49"/>
      <c r="M7" s="50">
        <f>COUNT(C11:K60)+COUNT(M11:U60)</f>
        <v>72</v>
      </c>
      <c r="N7" s="51"/>
      <c r="P7" s="52" t="s">
        <v>27</v>
      </c>
      <c r="Q7" s="47"/>
      <c r="R7" s="53">
        <v>170</v>
      </c>
      <c r="S7" s="53"/>
      <c r="T7" s="46" t="s">
        <v>28</v>
      </c>
      <c r="U7" s="47"/>
      <c r="V7" s="3">
        <v>80</v>
      </c>
      <c r="Z7" s="36"/>
      <c r="AA7" s="36"/>
      <c r="AB7" s="42" t="s">
        <v>14</v>
      </c>
      <c r="AC7" s="42">
        <v>72</v>
      </c>
      <c r="AD7" s="42">
        <f t="shared" si="0"/>
        <v>0</v>
      </c>
    </row>
    <row r="8" spans="1:30" x14ac:dyDescent="0.25">
      <c r="O8" s="37"/>
      <c r="P8" s="38"/>
      <c r="Q8" s="39"/>
      <c r="R8" s="40"/>
      <c r="S8" s="40"/>
      <c r="T8" s="39"/>
      <c r="U8" s="39"/>
      <c r="V8" s="40"/>
      <c r="W8" s="37"/>
      <c r="Z8" s="36"/>
      <c r="AA8" s="36"/>
      <c r="AB8" s="42"/>
      <c r="AC8" s="42"/>
      <c r="AD8" s="42"/>
    </row>
    <row r="9" spans="1:30" x14ac:dyDescent="0.25">
      <c r="Z9" s="36"/>
      <c r="AA9" s="36"/>
      <c r="AB9" s="42"/>
      <c r="AC9" s="42"/>
      <c r="AD9" s="42" t="str">
        <f t="shared" si="0"/>
        <v/>
      </c>
    </row>
    <row r="10" spans="1:30" s="6" customFormat="1" x14ac:dyDescent="0.25">
      <c r="A10" s="4" t="s">
        <v>29</v>
      </c>
      <c r="B10" s="4" t="s">
        <v>1</v>
      </c>
      <c r="C10" s="4">
        <v>1</v>
      </c>
      <c r="D10" s="4">
        <v>2</v>
      </c>
      <c r="E10" s="4">
        <v>3</v>
      </c>
      <c r="F10" s="4">
        <v>4</v>
      </c>
      <c r="G10" s="4">
        <v>5</v>
      </c>
      <c r="H10" s="4">
        <v>6</v>
      </c>
      <c r="I10" s="4">
        <v>7</v>
      </c>
      <c r="J10" s="4">
        <v>8</v>
      </c>
      <c r="K10" s="4">
        <v>9</v>
      </c>
      <c r="L10" s="5" t="s">
        <v>30</v>
      </c>
      <c r="M10" s="4">
        <v>10</v>
      </c>
      <c r="N10" s="4">
        <v>11</v>
      </c>
      <c r="O10" s="4">
        <v>12</v>
      </c>
      <c r="P10" s="4">
        <v>13</v>
      </c>
      <c r="Q10" s="4">
        <v>14</v>
      </c>
      <c r="R10" s="4">
        <v>15</v>
      </c>
      <c r="S10" s="4">
        <v>16</v>
      </c>
      <c r="T10" s="4">
        <v>17</v>
      </c>
      <c r="U10" s="4">
        <v>18</v>
      </c>
      <c r="V10" s="5" t="s">
        <v>31</v>
      </c>
      <c r="W10" s="4" t="s">
        <v>32</v>
      </c>
      <c r="X10" s="4" t="s">
        <v>33</v>
      </c>
      <c r="AB10" s="43"/>
      <c r="AC10" s="43"/>
      <c r="AD10" s="42" t="str">
        <f t="shared" si="0"/>
        <v/>
      </c>
    </row>
    <row r="11" spans="1:30" x14ac:dyDescent="0.25">
      <c r="A11" s="7">
        <v>42444</v>
      </c>
      <c r="B11" s="8" t="s">
        <v>14</v>
      </c>
      <c r="C11" s="9">
        <v>1</v>
      </c>
      <c r="D11" s="9">
        <v>2</v>
      </c>
      <c r="E11" s="9">
        <v>3</v>
      </c>
      <c r="F11" s="9">
        <v>1</v>
      </c>
      <c r="G11" s="9">
        <v>0</v>
      </c>
      <c r="H11" s="9">
        <v>1</v>
      </c>
      <c r="I11" s="9">
        <v>2</v>
      </c>
      <c r="J11" s="9">
        <v>1</v>
      </c>
      <c r="K11" s="9">
        <v>1</v>
      </c>
      <c r="L11" s="10">
        <f t="shared" ref="L11:L42" si="1">IF(C11&lt;&gt;"",SUM(C11:K11),"")</f>
        <v>12</v>
      </c>
      <c r="M11" s="9">
        <v>1</v>
      </c>
      <c r="N11" s="9">
        <v>1</v>
      </c>
      <c r="O11" s="9">
        <v>1</v>
      </c>
      <c r="P11" s="9">
        <v>1</v>
      </c>
      <c r="Q11" s="9">
        <v>1</v>
      </c>
      <c r="R11" s="9">
        <v>2</v>
      </c>
      <c r="S11" s="9">
        <v>1</v>
      </c>
      <c r="T11" s="9">
        <v>1</v>
      </c>
      <c r="U11" s="9">
        <v>1</v>
      </c>
      <c r="V11" s="10">
        <f t="shared" ref="V11:V60" si="2">IF(M11&lt;&gt;"",SUM(M11:U11),"")</f>
        <v>10</v>
      </c>
      <c r="W11" s="11">
        <f t="shared" ref="W11:W60" si="3">IF(L11&lt;&gt;"",IF(M11="",(L11*2+(LOOKUP(B11,AB:AB,AD:AD)))+72,L11+V11+72+LOOKUP(B11,AB:AB,AD:AD)),"")</f>
        <v>94</v>
      </c>
      <c r="X11" s="11">
        <f t="shared" ref="X11:X60" si="4">IF(W11&lt;&gt;"",W11-72,"")</f>
        <v>22</v>
      </c>
      <c r="Y11"/>
      <c r="AB11" s="42"/>
      <c r="AC11" s="42"/>
      <c r="AD11" s="42" t="str">
        <f t="shared" si="0"/>
        <v/>
      </c>
    </row>
    <row r="12" spans="1:30" x14ac:dyDescent="0.25">
      <c r="A12" s="12">
        <v>42484</v>
      </c>
      <c r="B12" s="13" t="s">
        <v>19</v>
      </c>
      <c r="C12" s="9">
        <v>2</v>
      </c>
      <c r="D12" s="9">
        <v>1</v>
      </c>
      <c r="E12" s="9">
        <v>1</v>
      </c>
      <c r="F12" s="9">
        <v>1</v>
      </c>
      <c r="G12" s="9">
        <v>1</v>
      </c>
      <c r="H12" s="9">
        <v>1</v>
      </c>
      <c r="I12" s="9">
        <v>1</v>
      </c>
      <c r="J12" s="9">
        <v>0</v>
      </c>
      <c r="K12" s="9">
        <v>1</v>
      </c>
      <c r="L12" s="10">
        <f t="shared" si="1"/>
        <v>9</v>
      </c>
      <c r="M12" s="9">
        <v>3</v>
      </c>
      <c r="N12" s="9">
        <v>1</v>
      </c>
      <c r="O12" s="9">
        <v>1</v>
      </c>
      <c r="P12" s="9">
        <v>4</v>
      </c>
      <c r="Q12" s="9">
        <v>1</v>
      </c>
      <c r="R12" s="9">
        <v>1</v>
      </c>
      <c r="S12" s="9">
        <v>-1</v>
      </c>
      <c r="T12" s="9">
        <v>1</v>
      </c>
      <c r="U12" s="9">
        <v>2</v>
      </c>
      <c r="V12" s="10">
        <f t="shared" si="2"/>
        <v>13</v>
      </c>
      <c r="W12" s="11">
        <f t="shared" si="3"/>
        <v>94</v>
      </c>
      <c r="X12" s="11">
        <f t="shared" si="4"/>
        <v>22</v>
      </c>
      <c r="Y12"/>
      <c r="AB12" s="42"/>
      <c r="AC12" s="42"/>
      <c r="AD12" s="42" t="str">
        <f t="shared" si="0"/>
        <v/>
      </c>
    </row>
    <row r="13" spans="1:30" x14ac:dyDescent="0.25">
      <c r="A13" s="12">
        <v>42516</v>
      </c>
      <c r="B13" s="13" t="s">
        <v>19</v>
      </c>
      <c r="C13" s="9">
        <v>2</v>
      </c>
      <c r="D13" s="9">
        <v>2</v>
      </c>
      <c r="E13" s="9">
        <v>2</v>
      </c>
      <c r="F13" s="9">
        <v>0</v>
      </c>
      <c r="G13" s="9">
        <v>0</v>
      </c>
      <c r="H13" s="9">
        <v>0</v>
      </c>
      <c r="I13" s="9">
        <v>2</v>
      </c>
      <c r="J13" s="9">
        <v>0</v>
      </c>
      <c r="K13" s="9">
        <v>0</v>
      </c>
      <c r="L13" s="10">
        <f t="shared" si="1"/>
        <v>8</v>
      </c>
      <c r="M13" s="9">
        <v>1</v>
      </c>
      <c r="N13" s="9">
        <v>1</v>
      </c>
      <c r="O13" s="9">
        <v>1</v>
      </c>
      <c r="P13" s="9">
        <v>1</v>
      </c>
      <c r="Q13" s="9">
        <v>1</v>
      </c>
      <c r="R13" s="9">
        <v>0</v>
      </c>
      <c r="S13" s="9">
        <v>3</v>
      </c>
      <c r="T13" s="9">
        <v>1</v>
      </c>
      <c r="U13" s="9">
        <v>2</v>
      </c>
      <c r="V13" s="10">
        <f t="shared" si="2"/>
        <v>11</v>
      </c>
      <c r="W13" s="11">
        <f t="shared" si="3"/>
        <v>91</v>
      </c>
      <c r="X13" s="11">
        <f t="shared" si="4"/>
        <v>19</v>
      </c>
      <c r="Y13"/>
      <c r="AB13" s="42"/>
      <c r="AC13" s="42"/>
      <c r="AD13" s="42" t="str">
        <f t="shared" si="0"/>
        <v/>
      </c>
    </row>
    <row r="14" spans="1:30" x14ac:dyDescent="0.25">
      <c r="A14" s="12">
        <v>42530</v>
      </c>
      <c r="B14" s="13" t="s">
        <v>19</v>
      </c>
      <c r="C14" s="9">
        <v>1</v>
      </c>
      <c r="D14" s="9">
        <v>2</v>
      </c>
      <c r="E14" s="9">
        <v>-1</v>
      </c>
      <c r="F14" s="9">
        <v>1</v>
      </c>
      <c r="G14" s="9">
        <v>1</v>
      </c>
      <c r="H14" s="9">
        <v>1</v>
      </c>
      <c r="I14" s="9">
        <v>0</v>
      </c>
      <c r="J14" s="9">
        <v>1</v>
      </c>
      <c r="K14" s="9">
        <v>0</v>
      </c>
      <c r="L14" s="10">
        <f t="shared" si="1"/>
        <v>6</v>
      </c>
      <c r="M14" s="9">
        <v>3</v>
      </c>
      <c r="N14" s="9">
        <v>3</v>
      </c>
      <c r="O14" s="9">
        <v>1</v>
      </c>
      <c r="P14" s="9">
        <v>1</v>
      </c>
      <c r="Q14" s="9">
        <v>1</v>
      </c>
      <c r="R14" s="9">
        <v>0</v>
      </c>
      <c r="S14" s="9">
        <v>0</v>
      </c>
      <c r="T14" s="9">
        <v>0</v>
      </c>
      <c r="U14" s="9">
        <v>1</v>
      </c>
      <c r="V14" s="10">
        <f t="shared" si="2"/>
        <v>10</v>
      </c>
      <c r="W14" s="11">
        <f t="shared" si="3"/>
        <v>88</v>
      </c>
      <c r="X14" s="11">
        <f t="shared" si="4"/>
        <v>16</v>
      </c>
      <c r="Y14"/>
      <c r="AB14" s="42"/>
      <c r="AC14" s="42"/>
      <c r="AD14" s="42" t="str">
        <f t="shared" si="0"/>
        <v/>
      </c>
    </row>
    <row r="15" spans="1:30" x14ac:dyDescent="0.25">
      <c r="A15" s="12"/>
      <c r="B15" s="13"/>
      <c r="C15" s="9"/>
      <c r="D15" s="9"/>
      <c r="E15" s="9"/>
      <c r="F15" s="9"/>
      <c r="G15" s="9"/>
      <c r="H15" s="9"/>
      <c r="I15" s="9"/>
      <c r="J15" s="9"/>
      <c r="K15" s="9"/>
      <c r="L15" s="10" t="str">
        <f t="shared" si="1"/>
        <v/>
      </c>
      <c r="M15" s="9"/>
      <c r="N15" s="9"/>
      <c r="O15" s="9"/>
      <c r="P15" s="9"/>
      <c r="Q15" s="9"/>
      <c r="R15" s="9"/>
      <c r="S15" s="9"/>
      <c r="T15" s="9"/>
      <c r="U15" s="9"/>
      <c r="V15" s="10" t="str">
        <f t="shared" si="2"/>
        <v/>
      </c>
      <c r="W15" s="11" t="str">
        <f t="shared" si="3"/>
        <v/>
      </c>
      <c r="X15" s="11" t="str">
        <f t="shared" si="4"/>
        <v/>
      </c>
      <c r="Y15"/>
      <c r="AB15" s="42"/>
      <c r="AC15" s="42"/>
      <c r="AD15" s="42" t="str">
        <f t="shared" si="0"/>
        <v/>
      </c>
    </row>
    <row r="16" spans="1:30" x14ac:dyDescent="0.25">
      <c r="A16" s="12"/>
      <c r="B16" s="13"/>
      <c r="C16" s="9"/>
      <c r="D16" s="9"/>
      <c r="E16" s="9"/>
      <c r="F16" s="9"/>
      <c r="G16" s="9"/>
      <c r="H16" s="9"/>
      <c r="I16" s="9"/>
      <c r="J16" s="9"/>
      <c r="K16" s="9"/>
      <c r="L16" s="10" t="str">
        <f t="shared" si="1"/>
        <v/>
      </c>
      <c r="M16" s="9"/>
      <c r="N16" s="9"/>
      <c r="O16" s="9"/>
      <c r="P16" s="9"/>
      <c r="Q16" s="9"/>
      <c r="R16" s="9"/>
      <c r="S16" s="9"/>
      <c r="T16" s="9"/>
      <c r="U16" s="9"/>
      <c r="V16" s="10" t="str">
        <f t="shared" si="2"/>
        <v/>
      </c>
      <c r="W16" s="11" t="str">
        <f t="shared" si="3"/>
        <v/>
      </c>
      <c r="X16" s="11" t="str">
        <f t="shared" si="4"/>
        <v/>
      </c>
      <c r="Y16"/>
      <c r="AB16" s="42"/>
      <c r="AC16" s="42"/>
      <c r="AD16" s="42" t="str">
        <f t="shared" si="0"/>
        <v/>
      </c>
    </row>
    <row r="17" spans="1:30" x14ac:dyDescent="0.25">
      <c r="A17" s="12"/>
      <c r="B17" s="13"/>
      <c r="C17" s="9"/>
      <c r="D17" s="9"/>
      <c r="E17" s="9"/>
      <c r="F17" s="9"/>
      <c r="G17" s="9"/>
      <c r="H17" s="9"/>
      <c r="I17" s="9"/>
      <c r="J17" s="9"/>
      <c r="K17" s="9"/>
      <c r="L17" s="10" t="str">
        <f t="shared" si="1"/>
        <v/>
      </c>
      <c r="M17" s="9"/>
      <c r="N17" s="9"/>
      <c r="O17" s="9"/>
      <c r="P17" s="9"/>
      <c r="Q17" s="9"/>
      <c r="R17" s="9"/>
      <c r="S17" s="9"/>
      <c r="T17" s="9"/>
      <c r="U17" s="9"/>
      <c r="V17" s="10" t="str">
        <f t="shared" si="2"/>
        <v/>
      </c>
      <c r="W17" s="11" t="str">
        <f t="shared" si="3"/>
        <v/>
      </c>
      <c r="X17" s="11" t="str">
        <f t="shared" si="4"/>
        <v/>
      </c>
      <c r="Y17"/>
      <c r="AB17" s="42"/>
      <c r="AC17" s="42"/>
      <c r="AD17" s="42" t="str">
        <f t="shared" si="0"/>
        <v/>
      </c>
    </row>
    <row r="18" spans="1:30" x14ac:dyDescent="0.25">
      <c r="A18" s="12"/>
      <c r="B18" s="13"/>
      <c r="C18" s="9"/>
      <c r="D18" s="9"/>
      <c r="E18" s="9"/>
      <c r="F18" s="9"/>
      <c r="G18" s="9"/>
      <c r="H18" s="9"/>
      <c r="I18" s="9"/>
      <c r="J18" s="9"/>
      <c r="K18" s="9"/>
      <c r="L18" s="10" t="str">
        <f t="shared" si="1"/>
        <v/>
      </c>
      <c r="M18" s="9"/>
      <c r="N18" s="9"/>
      <c r="O18" s="9"/>
      <c r="P18" s="9"/>
      <c r="Q18" s="9"/>
      <c r="R18" s="9"/>
      <c r="S18" s="9"/>
      <c r="T18" s="9"/>
      <c r="U18" s="9"/>
      <c r="V18" s="10" t="str">
        <f t="shared" si="2"/>
        <v/>
      </c>
      <c r="W18" s="11" t="str">
        <f t="shared" si="3"/>
        <v/>
      </c>
      <c r="X18" s="11" t="str">
        <f t="shared" si="4"/>
        <v/>
      </c>
      <c r="Y18"/>
      <c r="AB18" s="42"/>
      <c r="AC18" s="42"/>
      <c r="AD18" s="42" t="str">
        <f t="shared" si="0"/>
        <v/>
      </c>
    </row>
    <row r="19" spans="1:30" x14ac:dyDescent="0.25">
      <c r="A19" s="12"/>
      <c r="B19" s="13"/>
      <c r="C19" s="9"/>
      <c r="D19" s="9"/>
      <c r="E19" s="9"/>
      <c r="F19" s="9"/>
      <c r="G19" s="9"/>
      <c r="H19" s="9"/>
      <c r="I19" s="9"/>
      <c r="J19" s="9"/>
      <c r="K19" s="9"/>
      <c r="L19" s="10" t="str">
        <f t="shared" si="1"/>
        <v/>
      </c>
      <c r="M19" s="9"/>
      <c r="N19" s="9"/>
      <c r="O19" s="9"/>
      <c r="P19" s="9"/>
      <c r="Q19" s="9"/>
      <c r="R19" s="9"/>
      <c r="S19" s="9"/>
      <c r="T19" s="9"/>
      <c r="U19" s="9"/>
      <c r="V19" s="10" t="str">
        <f t="shared" si="2"/>
        <v/>
      </c>
      <c r="W19" s="11" t="str">
        <f t="shared" si="3"/>
        <v/>
      </c>
      <c r="X19" s="11" t="str">
        <f t="shared" si="4"/>
        <v/>
      </c>
      <c r="Y19"/>
      <c r="AB19" s="42"/>
      <c r="AC19" s="42"/>
      <c r="AD19" s="42" t="str">
        <f t="shared" si="0"/>
        <v/>
      </c>
    </row>
    <row r="20" spans="1:30" x14ac:dyDescent="0.25">
      <c r="A20" s="12"/>
      <c r="B20" s="13"/>
      <c r="C20" s="9"/>
      <c r="D20" s="9"/>
      <c r="E20" s="9"/>
      <c r="F20" s="9"/>
      <c r="G20" s="9"/>
      <c r="H20" s="9"/>
      <c r="I20" s="9"/>
      <c r="J20" s="9"/>
      <c r="K20" s="9"/>
      <c r="L20" s="10" t="str">
        <f t="shared" si="1"/>
        <v/>
      </c>
      <c r="M20" s="9"/>
      <c r="N20" s="9"/>
      <c r="O20" s="9"/>
      <c r="P20" s="9"/>
      <c r="Q20" s="9"/>
      <c r="R20" s="9"/>
      <c r="S20" s="9"/>
      <c r="T20" s="9"/>
      <c r="U20" s="9"/>
      <c r="V20" s="10" t="str">
        <f t="shared" si="2"/>
        <v/>
      </c>
      <c r="W20" s="11" t="str">
        <f t="shared" si="3"/>
        <v/>
      </c>
      <c r="X20" s="11" t="str">
        <f t="shared" si="4"/>
        <v/>
      </c>
      <c r="Y20"/>
      <c r="AB20" s="42"/>
      <c r="AC20" s="42"/>
      <c r="AD20" s="42" t="str">
        <f t="shared" si="0"/>
        <v/>
      </c>
    </row>
    <row r="21" spans="1:30" x14ac:dyDescent="0.25">
      <c r="A21" s="12"/>
      <c r="B21" s="13"/>
      <c r="C21" s="9"/>
      <c r="D21" s="9"/>
      <c r="E21" s="9"/>
      <c r="F21" s="9"/>
      <c r="G21" s="9"/>
      <c r="H21" s="9"/>
      <c r="I21" s="9"/>
      <c r="J21" s="9"/>
      <c r="K21" s="9"/>
      <c r="L21" s="10" t="str">
        <f t="shared" si="1"/>
        <v/>
      </c>
      <c r="M21" s="9"/>
      <c r="N21" s="9"/>
      <c r="O21" s="9"/>
      <c r="P21" s="9"/>
      <c r="Q21" s="9"/>
      <c r="R21" s="9"/>
      <c r="S21" s="9"/>
      <c r="T21" s="9"/>
      <c r="U21" s="9"/>
      <c r="V21" s="10" t="str">
        <f t="shared" si="2"/>
        <v/>
      </c>
      <c r="W21" s="11" t="str">
        <f t="shared" si="3"/>
        <v/>
      </c>
      <c r="X21" s="11" t="str">
        <f t="shared" si="4"/>
        <v/>
      </c>
      <c r="Y21"/>
      <c r="AB21" s="42"/>
      <c r="AC21" s="42"/>
      <c r="AD21" s="42" t="str">
        <f t="shared" si="0"/>
        <v/>
      </c>
    </row>
    <row r="22" spans="1:30" x14ac:dyDescent="0.25">
      <c r="A22" s="12"/>
      <c r="B22" s="13"/>
      <c r="C22" s="9"/>
      <c r="D22" s="9"/>
      <c r="E22" s="9"/>
      <c r="F22" s="9"/>
      <c r="G22" s="9"/>
      <c r="H22" s="9"/>
      <c r="I22" s="9"/>
      <c r="J22" s="9"/>
      <c r="K22" s="9"/>
      <c r="L22" s="10" t="str">
        <f t="shared" si="1"/>
        <v/>
      </c>
      <c r="M22" s="9"/>
      <c r="N22" s="9"/>
      <c r="O22" s="9"/>
      <c r="P22" s="9"/>
      <c r="Q22" s="9"/>
      <c r="R22" s="9"/>
      <c r="S22" s="9"/>
      <c r="T22" s="9"/>
      <c r="U22" s="9"/>
      <c r="V22" s="10" t="str">
        <f t="shared" si="2"/>
        <v/>
      </c>
      <c r="W22" s="11" t="str">
        <f t="shared" si="3"/>
        <v/>
      </c>
      <c r="X22" s="11" t="str">
        <f t="shared" si="4"/>
        <v/>
      </c>
      <c r="Y22"/>
      <c r="AB22" s="42"/>
      <c r="AC22" s="42"/>
      <c r="AD22" s="42" t="str">
        <f t="shared" si="0"/>
        <v/>
      </c>
    </row>
    <row r="23" spans="1:30" x14ac:dyDescent="0.25">
      <c r="A23" s="12"/>
      <c r="B23" s="13"/>
      <c r="C23" s="9"/>
      <c r="D23" s="9"/>
      <c r="E23" s="9"/>
      <c r="F23" s="9"/>
      <c r="G23" s="9"/>
      <c r="H23" s="9"/>
      <c r="I23" s="9"/>
      <c r="J23" s="9"/>
      <c r="K23" s="9"/>
      <c r="L23" s="10" t="str">
        <f t="shared" si="1"/>
        <v/>
      </c>
      <c r="M23" s="9"/>
      <c r="N23" s="9"/>
      <c r="O23" s="9"/>
      <c r="P23" s="9"/>
      <c r="Q23" s="9"/>
      <c r="R23" s="9"/>
      <c r="S23" s="9"/>
      <c r="T23" s="9"/>
      <c r="U23" s="9"/>
      <c r="V23" s="10" t="str">
        <f t="shared" si="2"/>
        <v/>
      </c>
      <c r="W23" s="11" t="str">
        <f t="shared" si="3"/>
        <v/>
      </c>
      <c r="X23" s="11" t="str">
        <f t="shared" si="4"/>
        <v/>
      </c>
      <c r="Y23"/>
      <c r="AB23" s="42"/>
      <c r="AC23" s="42"/>
      <c r="AD23" s="42" t="str">
        <f t="shared" si="0"/>
        <v/>
      </c>
    </row>
    <row r="24" spans="1:30" x14ac:dyDescent="0.25">
      <c r="A24" s="12"/>
      <c r="B24" s="13"/>
      <c r="C24" s="9"/>
      <c r="D24" s="9"/>
      <c r="E24" s="9"/>
      <c r="F24" s="9"/>
      <c r="G24" s="9"/>
      <c r="H24" s="9"/>
      <c r="I24" s="9"/>
      <c r="J24" s="9"/>
      <c r="K24" s="9"/>
      <c r="L24" s="10" t="str">
        <f t="shared" si="1"/>
        <v/>
      </c>
      <c r="M24" s="9"/>
      <c r="N24" s="9"/>
      <c r="O24" s="9"/>
      <c r="P24" s="9"/>
      <c r="Q24" s="9"/>
      <c r="R24" s="9"/>
      <c r="S24" s="9"/>
      <c r="T24" s="9"/>
      <c r="U24" s="9"/>
      <c r="V24" s="10" t="str">
        <f t="shared" si="2"/>
        <v/>
      </c>
      <c r="W24" s="11" t="str">
        <f t="shared" si="3"/>
        <v/>
      </c>
      <c r="X24" s="11" t="str">
        <f t="shared" si="4"/>
        <v/>
      </c>
      <c r="Y24"/>
      <c r="AB24" s="42"/>
      <c r="AC24" s="42"/>
      <c r="AD24" s="42" t="str">
        <f t="shared" si="0"/>
        <v/>
      </c>
    </row>
    <row r="25" spans="1:30" x14ac:dyDescent="0.25">
      <c r="A25" s="12"/>
      <c r="B25" s="13"/>
      <c r="C25" s="9"/>
      <c r="D25" s="9"/>
      <c r="E25" s="9"/>
      <c r="F25" s="9"/>
      <c r="G25" s="9"/>
      <c r="H25" s="9"/>
      <c r="I25" s="9"/>
      <c r="J25" s="9"/>
      <c r="K25" s="9"/>
      <c r="L25" s="10" t="str">
        <f t="shared" si="1"/>
        <v/>
      </c>
      <c r="M25" s="9"/>
      <c r="N25" s="9"/>
      <c r="O25" s="9"/>
      <c r="P25" s="9"/>
      <c r="Q25" s="9"/>
      <c r="R25" s="9"/>
      <c r="S25" s="9"/>
      <c r="T25" s="9"/>
      <c r="U25" s="9"/>
      <c r="V25" s="10" t="str">
        <f t="shared" si="2"/>
        <v/>
      </c>
      <c r="W25" s="11" t="str">
        <f t="shared" si="3"/>
        <v/>
      </c>
      <c r="X25" s="11" t="str">
        <f t="shared" si="4"/>
        <v/>
      </c>
      <c r="Y25"/>
      <c r="AB25" s="42"/>
      <c r="AC25" s="42"/>
      <c r="AD25" s="42" t="str">
        <f t="shared" si="0"/>
        <v/>
      </c>
    </row>
    <row r="26" spans="1:30" x14ac:dyDescent="0.25">
      <c r="A26" s="12"/>
      <c r="B26" s="13"/>
      <c r="C26" s="9"/>
      <c r="D26" s="9"/>
      <c r="E26" s="9"/>
      <c r="F26" s="9"/>
      <c r="G26" s="9"/>
      <c r="H26" s="9"/>
      <c r="I26" s="9"/>
      <c r="J26" s="9"/>
      <c r="K26" s="9"/>
      <c r="L26" s="10" t="str">
        <f t="shared" si="1"/>
        <v/>
      </c>
      <c r="M26" s="9"/>
      <c r="N26" s="9"/>
      <c r="O26" s="9"/>
      <c r="P26" s="9"/>
      <c r="Q26" s="9"/>
      <c r="R26" s="9"/>
      <c r="S26" s="9"/>
      <c r="T26" s="9"/>
      <c r="U26" s="9"/>
      <c r="V26" s="10" t="str">
        <f t="shared" si="2"/>
        <v/>
      </c>
      <c r="W26" s="11" t="str">
        <f t="shared" si="3"/>
        <v/>
      </c>
      <c r="X26" s="11" t="str">
        <f t="shared" si="4"/>
        <v/>
      </c>
      <c r="Y26"/>
      <c r="AB26" s="42"/>
      <c r="AC26" s="42"/>
      <c r="AD26" s="42" t="str">
        <f t="shared" si="0"/>
        <v/>
      </c>
    </row>
    <row r="27" spans="1:30" x14ac:dyDescent="0.25">
      <c r="A27" s="12"/>
      <c r="B27" s="13"/>
      <c r="C27" s="9"/>
      <c r="D27" s="9"/>
      <c r="E27" s="9"/>
      <c r="F27" s="9"/>
      <c r="G27" s="9"/>
      <c r="H27" s="9"/>
      <c r="I27" s="9"/>
      <c r="J27" s="9"/>
      <c r="K27" s="9"/>
      <c r="L27" s="10" t="str">
        <f t="shared" si="1"/>
        <v/>
      </c>
      <c r="M27" s="9"/>
      <c r="N27" s="9"/>
      <c r="O27" s="9"/>
      <c r="P27" s="9"/>
      <c r="Q27" s="9"/>
      <c r="R27" s="9"/>
      <c r="S27" s="9"/>
      <c r="T27" s="9"/>
      <c r="U27" s="9"/>
      <c r="V27" s="10" t="str">
        <f t="shared" si="2"/>
        <v/>
      </c>
      <c r="W27" s="11" t="str">
        <f t="shared" si="3"/>
        <v/>
      </c>
      <c r="X27" s="11" t="str">
        <f t="shared" si="4"/>
        <v/>
      </c>
      <c r="Y27"/>
      <c r="AB27" s="42"/>
      <c r="AC27" s="42"/>
      <c r="AD27" s="42" t="str">
        <f t="shared" si="0"/>
        <v/>
      </c>
    </row>
    <row r="28" spans="1:30" x14ac:dyDescent="0.25">
      <c r="A28" s="12"/>
      <c r="B28" s="13"/>
      <c r="C28" s="9"/>
      <c r="D28" s="9"/>
      <c r="E28" s="9"/>
      <c r="F28" s="9"/>
      <c r="G28" s="9"/>
      <c r="H28" s="9"/>
      <c r="I28" s="9"/>
      <c r="J28" s="9"/>
      <c r="K28" s="9"/>
      <c r="L28" s="10" t="str">
        <f t="shared" si="1"/>
        <v/>
      </c>
      <c r="M28" s="9"/>
      <c r="N28" s="9"/>
      <c r="O28" s="9"/>
      <c r="P28" s="9"/>
      <c r="Q28" s="9"/>
      <c r="R28" s="9"/>
      <c r="S28" s="9"/>
      <c r="T28" s="9"/>
      <c r="U28" s="9"/>
      <c r="V28" s="10" t="str">
        <f t="shared" si="2"/>
        <v/>
      </c>
      <c r="W28" s="11" t="str">
        <f t="shared" si="3"/>
        <v/>
      </c>
      <c r="X28" s="11" t="str">
        <f t="shared" si="4"/>
        <v/>
      </c>
      <c r="Y28"/>
      <c r="AB28" s="42"/>
      <c r="AC28" s="42"/>
      <c r="AD28" s="42" t="str">
        <f t="shared" si="0"/>
        <v/>
      </c>
    </row>
    <row r="29" spans="1:30" x14ac:dyDescent="0.25">
      <c r="A29" s="12"/>
      <c r="B29" s="13"/>
      <c r="C29" s="9"/>
      <c r="D29" s="9"/>
      <c r="E29" s="9"/>
      <c r="F29" s="9"/>
      <c r="G29" s="9"/>
      <c r="H29" s="9"/>
      <c r="I29" s="9"/>
      <c r="J29" s="9"/>
      <c r="K29" s="9"/>
      <c r="L29" s="10" t="str">
        <f t="shared" si="1"/>
        <v/>
      </c>
      <c r="M29" s="9"/>
      <c r="N29" s="9"/>
      <c r="O29" s="9"/>
      <c r="P29" s="9"/>
      <c r="Q29" s="9"/>
      <c r="R29" s="9"/>
      <c r="S29" s="9"/>
      <c r="T29" s="9"/>
      <c r="U29" s="9"/>
      <c r="V29" s="10" t="str">
        <f t="shared" si="2"/>
        <v/>
      </c>
      <c r="W29" s="11" t="str">
        <f t="shared" si="3"/>
        <v/>
      </c>
      <c r="X29" s="11" t="str">
        <f t="shared" si="4"/>
        <v/>
      </c>
      <c r="Y29"/>
      <c r="AB29" s="42"/>
      <c r="AC29" s="42"/>
      <c r="AD29" s="42" t="str">
        <f t="shared" si="0"/>
        <v/>
      </c>
    </row>
    <row r="30" spans="1:30" x14ac:dyDescent="0.25">
      <c r="A30" s="12"/>
      <c r="B30" s="13"/>
      <c r="C30" s="9"/>
      <c r="D30" s="9"/>
      <c r="E30" s="9"/>
      <c r="F30" s="9"/>
      <c r="G30" s="9"/>
      <c r="H30" s="9"/>
      <c r="I30" s="9"/>
      <c r="J30" s="9"/>
      <c r="K30" s="9"/>
      <c r="L30" s="10" t="str">
        <f t="shared" si="1"/>
        <v/>
      </c>
      <c r="M30" s="9"/>
      <c r="N30" s="9"/>
      <c r="O30" s="9"/>
      <c r="P30" s="9"/>
      <c r="Q30" s="9"/>
      <c r="R30" s="9"/>
      <c r="S30" s="9"/>
      <c r="T30" s="9"/>
      <c r="U30" s="9"/>
      <c r="V30" s="10" t="str">
        <f t="shared" si="2"/>
        <v/>
      </c>
      <c r="W30" s="11" t="str">
        <f t="shared" si="3"/>
        <v/>
      </c>
      <c r="X30" s="11" t="str">
        <f t="shared" si="4"/>
        <v/>
      </c>
      <c r="Y30"/>
      <c r="AB30" s="42"/>
      <c r="AC30" s="42"/>
      <c r="AD30" s="42" t="str">
        <f t="shared" si="0"/>
        <v/>
      </c>
    </row>
    <row r="31" spans="1:30" x14ac:dyDescent="0.25">
      <c r="A31" s="12"/>
      <c r="B31" s="13"/>
      <c r="C31" s="9"/>
      <c r="D31" s="9"/>
      <c r="E31" s="9"/>
      <c r="F31" s="9"/>
      <c r="G31" s="9"/>
      <c r="H31" s="9"/>
      <c r="I31" s="9"/>
      <c r="J31" s="9"/>
      <c r="K31" s="9"/>
      <c r="L31" s="10" t="str">
        <f t="shared" si="1"/>
        <v/>
      </c>
      <c r="M31" s="9"/>
      <c r="N31" s="9"/>
      <c r="O31" s="9"/>
      <c r="P31" s="9"/>
      <c r="Q31" s="9"/>
      <c r="R31" s="9"/>
      <c r="S31" s="9"/>
      <c r="T31" s="9"/>
      <c r="U31" s="9"/>
      <c r="V31" s="10" t="str">
        <f t="shared" si="2"/>
        <v/>
      </c>
      <c r="W31" s="11" t="str">
        <f t="shared" si="3"/>
        <v/>
      </c>
      <c r="X31" s="11" t="str">
        <f t="shared" si="4"/>
        <v/>
      </c>
      <c r="Y31"/>
      <c r="AB31" s="42"/>
      <c r="AC31" s="42"/>
      <c r="AD31" s="42" t="str">
        <f t="shared" si="0"/>
        <v/>
      </c>
    </row>
    <row r="32" spans="1:30" x14ac:dyDescent="0.25">
      <c r="A32" s="12"/>
      <c r="B32" s="13"/>
      <c r="C32" s="9"/>
      <c r="D32" s="9"/>
      <c r="E32" s="9"/>
      <c r="F32" s="9"/>
      <c r="G32" s="9"/>
      <c r="H32" s="9"/>
      <c r="I32" s="9"/>
      <c r="J32" s="9"/>
      <c r="K32" s="9"/>
      <c r="L32" s="10" t="str">
        <f t="shared" si="1"/>
        <v/>
      </c>
      <c r="M32" s="9"/>
      <c r="N32" s="9"/>
      <c r="O32" s="9"/>
      <c r="P32" s="9"/>
      <c r="Q32" s="9"/>
      <c r="R32" s="9"/>
      <c r="S32" s="9"/>
      <c r="T32" s="9"/>
      <c r="U32" s="9"/>
      <c r="V32" s="10" t="str">
        <f t="shared" si="2"/>
        <v/>
      </c>
      <c r="W32" s="11" t="str">
        <f t="shared" si="3"/>
        <v/>
      </c>
      <c r="X32" s="11" t="str">
        <f t="shared" si="4"/>
        <v/>
      </c>
      <c r="Y32"/>
      <c r="AB32" s="42"/>
      <c r="AC32" s="42"/>
      <c r="AD32" s="42" t="str">
        <f t="shared" si="0"/>
        <v/>
      </c>
    </row>
    <row r="33" spans="1:30" x14ac:dyDescent="0.25">
      <c r="A33" s="12"/>
      <c r="B33" s="13"/>
      <c r="C33" s="9"/>
      <c r="D33" s="9"/>
      <c r="E33" s="9"/>
      <c r="F33" s="9"/>
      <c r="G33" s="9"/>
      <c r="H33" s="9"/>
      <c r="I33" s="9"/>
      <c r="J33" s="9"/>
      <c r="K33" s="9"/>
      <c r="L33" s="10" t="str">
        <f t="shared" si="1"/>
        <v/>
      </c>
      <c r="M33" s="9"/>
      <c r="N33" s="9"/>
      <c r="O33" s="9"/>
      <c r="P33" s="9"/>
      <c r="Q33" s="9"/>
      <c r="R33" s="9"/>
      <c r="S33" s="9"/>
      <c r="T33" s="9"/>
      <c r="U33" s="9"/>
      <c r="V33" s="10" t="str">
        <f t="shared" si="2"/>
        <v/>
      </c>
      <c r="W33" s="11" t="str">
        <f t="shared" si="3"/>
        <v/>
      </c>
      <c r="X33" s="11" t="str">
        <f t="shared" si="4"/>
        <v/>
      </c>
      <c r="Y33"/>
      <c r="AB33" s="42"/>
      <c r="AC33" s="42"/>
      <c r="AD33" s="42" t="str">
        <f t="shared" si="0"/>
        <v/>
      </c>
    </row>
    <row r="34" spans="1:30" x14ac:dyDescent="0.25">
      <c r="A34" s="12"/>
      <c r="B34" s="13"/>
      <c r="C34" s="9"/>
      <c r="D34" s="9"/>
      <c r="E34" s="9"/>
      <c r="F34" s="9"/>
      <c r="G34" s="9"/>
      <c r="H34" s="9"/>
      <c r="I34" s="9"/>
      <c r="J34" s="9"/>
      <c r="K34" s="9"/>
      <c r="L34" s="10" t="str">
        <f t="shared" si="1"/>
        <v/>
      </c>
      <c r="M34" s="9"/>
      <c r="N34" s="9"/>
      <c r="O34" s="9"/>
      <c r="P34" s="9"/>
      <c r="Q34" s="9"/>
      <c r="R34" s="9"/>
      <c r="S34" s="9"/>
      <c r="T34" s="9"/>
      <c r="U34" s="9"/>
      <c r="V34" s="10" t="str">
        <f t="shared" si="2"/>
        <v/>
      </c>
      <c r="W34" s="11" t="str">
        <f t="shared" si="3"/>
        <v/>
      </c>
      <c r="X34" s="11" t="str">
        <f t="shared" si="4"/>
        <v/>
      </c>
      <c r="Y34"/>
      <c r="AB34" s="42"/>
      <c r="AC34" s="42"/>
      <c r="AD34" s="42" t="str">
        <f t="shared" si="0"/>
        <v/>
      </c>
    </row>
    <row r="35" spans="1:30" x14ac:dyDescent="0.25">
      <c r="A35" s="12"/>
      <c r="B35" s="13"/>
      <c r="C35" s="9"/>
      <c r="D35" s="9"/>
      <c r="E35" s="9"/>
      <c r="F35" s="9"/>
      <c r="G35" s="9"/>
      <c r="H35" s="9"/>
      <c r="I35" s="9"/>
      <c r="J35" s="9"/>
      <c r="K35" s="9"/>
      <c r="L35" s="10" t="str">
        <f t="shared" si="1"/>
        <v/>
      </c>
      <c r="M35" s="9"/>
      <c r="N35" s="9"/>
      <c r="O35" s="9"/>
      <c r="P35" s="9"/>
      <c r="Q35" s="9"/>
      <c r="R35" s="9"/>
      <c r="S35" s="9"/>
      <c r="T35" s="9"/>
      <c r="U35" s="9"/>
      <c r="V35" s="10" t="str">
        <f t="shared" si="2"/>
        <v/>
      </c>
      <c r="W35" s="11" t="str">
        <f t="shared" si="3"/>
        <v/>
      </c>
      <c r="X35" s="11" t="str">
        <f t="shared" si="4"/>
        <v/>
      </c>
      <c r="Y35"/>
      <c r="AB35" s="42"/>
      <c r="AC35" s="42"/>
      <c r="AD35" s="42" t="str">
        <f t="shared" si="0"/>
        <v/>
      </c>
    </row>
    <row r="36" spans="1:30" x14ac:dyDescent="0.25">
      <c r="A36" s="12"/>
      <c r="B36" s="13"/>
      <c r="C36" s="9"/>
      <c r="D36" s="9"/>
      <c r="E36" s="9"/>
      <c r="F36" s="9"/>
      <c r="G36" s="9"/>
      <c r="H36" s="9"/>
      <c r="I36" s="9"/>
      <c r="J36" s="9"/>
      <c r="K36" s="9"/>
      <c r="L36" s="10" t="str">
        <f t="shared" si="1"/>
        <v/>
      </c>
      <c r="M36" s="9"/>
      <c r="N36" s="9"/>
      <c r="O36" s="9"/>
      <c r="P36" s="9"/>
      <c r="Q36" s="9"/>
      <c r="R36" s="9"/>
      <c r="S36" s="9"/>
      <c r="T36" s="9"/>
      <c r="U36" s="9"/>
      <c r="V36" s="10" t="str">
        <f t="shared" si="2"/>
        <v/>
      </c>
      <c r="W36" s="11" t="str">
        <f t="shared" si="3"/>
        <v/>
      </c>
      <c r="X36" s="11" t="str">
        <f t="shared" si="4"/>
        <v/>
      </c>
      <c r="Y36"/>
      <c r="AB36" s="42"/>
      <c r="AC36" s="42"/>
      <c r="AD36" s="42" t="str">
        <f t="shared" si="0"/>
        <v/>
      </c>
    </row>
    <row r="37" spans="1:30" x14ac:dyDescent="0.25">
      <c r="A37" s="12"/>
      <c r="B37" s="13"/>
      <c r="C37" s="9"/>
      <c r="D37" s="9"/>
      <c r="E37" s="9"/>
      <c r="F37" s="9"/>
      <c r="G37" s="9"/>
      <c r="H37" s="9"/>
      <c r="I37" s="9"/>
      <c r="J37" s="9"/>
      <c r="K37" s="9"/>
      <c r="L37" s="10" t="str">
        <f t="shared" si="1"/>
        <v/>
      </c>
      <c r="M37" s="9"/>
      <c r="N37" s="9"/>
      <c r="O37" s="9"/>
      <c r="P37" s="9"/>
      <c r="Q37" s="9"/>
      <c r="R37" s="9"/>
      <c r="S37" s="9"/>
      <c r="T37" s="9"/>
      <c r="U37" s="9"/>
      <c r="V37" s="10" t="str">
        <f t="shared" si="2"/>
        <v/>
      </c>
      <c r="W37" s="11" t="str">
        <f t="shared" si="3"/>
        <v/>
      </c>
      <c r="X37" s="11" t="str">
        <f t="shared" si="4"/>
        <v/>
      </c>
      <c r="Y37"/>
      <c r="AB37" s="42"/>
      <c r="AC37" s="42"/>
      <c r="AD37" s="42" t="str">
        <f t="shared" si="0"/>
        <v/>
      </c>
    </row>
    <row r="38" spans="1:30" x14ac:dyDescent="0.25">
      <c r="A38" s="12"/>
      <c r="B38" s="13"/>
      <c r="C38" s="9"/>
      <c r="D38" s="9"/>
      <c r="E38" s="9"/>
      <c r="F38" s="9"/>
      <c r="G38" s="9"/>
      <c r="H38" s="9"/>
      <c r="I38" s="9"/>
      <c r="J38" s="9"/>
      <c r="K38" s="9"/>
      <c r="L38" s="10" t="str">
        <f t="shared" si="1"/>
        <v/>
      </c>
      <c r="M38" s="9"/>
      <c r="N38" s="9"/>
      <c r="O38" s="9"/>
      <c r="P38" s="9"/>
      <c r="Q38" s="9"/>
      <c r="R38" s="9"/>
      <c r="S38" s="9"/>
      <c r="T38" s="9"/>
      <c r="U38" s="9"/>
      <c r="V38" s="10" t="str">
        <f t="shared" si="2"/>
        <v/>
      </c>
      <c r="W38" s="11" t="str">
        <f t="shared" si="3"/>
        <v/>
      </c>
      <c r="X38" s="11" t="str">
        <f t="shared" si="4"/>
        <v/>
      </c>
      <c r="Y38"/>
      <c r="AB38" s="42"/>
      <c r="AC38" s="42"/>
      <c r="AD38" s="42" t="str">
        <f t="shared" si="0"/>
        <v/>
      </c>
    </row>
    <row r="39" spans="1:30" x14ac:dyDescent="0.25">
      <c r="A39" s="12"/>
      <c r="B39" s="13"/>
      <c r="C39" s="9"/>
      <c r="D39" s="9"/>
      <c r="E39" s="9"/>
      <c r="F39" s="9"/>
      <c r="G39" s="9"/>
      <c r="H39" s="9"/>
      <c r="I39" s="9"/>
      <c r="J39" s="9"/>
      <c r="K39" s="9"/>
      <c r="L39" s="10" t="str">
        <f t="shared" si="1"/>
        <v/>
      </c>
      <c r="M39" s="9"/>
      <c r="N39" s="9"/>
      <c r="O39" s="9"/>
      <c r="P39" s="9"/>
      <c r="Q39" s="9"/>
      <c r="R39" s="9"/>
      <c r="S39" s="9"/>
      <c r="T39" s="9"/>
      <c r="U39" s="9"/>
      <c r="V39" s="10" t="str">
        <f t="shared" si="2"/>
        <v/>
      </c>
      <c r="W39" s="11" t="str">
        <f t="shared" si="3"/>
        <v/>
      </c>
      <c r="X39" s="11" t="str">
        <f t="shared" si="4"/>
        <v/>
      </c>
      <c r="Y39"/>
      <c r="AB39" s="42"/>
      <c r="AC39" s="42"/>
      <c r="AD39" s="42" t="str">
        <f t="shared" si="0"/>
        <v/>
      </c>
    </row>
    <row r="40" spans="1:30" x14ac:dyDescent="0.25">
      <c r="A40" s="12"/>
      <c r="B40" s="13"/>
      <c r="C40" s="9"/>
      <c r="D40" s="9"/>
      <c r="E40" s="9"/>
      <c r="F40" s="9"/>
      <c r="G40" s="9"/>
      <c r="H40" s="9"/>
      <c r="I40" s="9"/>
      <c r="J40" s="9"/>
      <c r="K40" s="9"/>
      <c r="L40" s="10" t="str">
        <f t="shared" si="1"/>
        <v/>
      </c>
      <c r="M40" s="9"/>
      <c r="N40" s="9"/>
      <c r="O40" s="9"/>
      <c r="P40" s="9"/>
      <c r="Q40" s="9"/>
      <c r="R40" s="9"/>
      <c r="S40" s="9"/>
      <c r="T40" s="9"/>
      <c r="U40" s="9"/>
      <c r="V40" s="10" t="str">
        <f t="shared" si="2"/>
        <v/>
      </c>
      <c r="W40" s="11" t="str">
        <f t="shared" si="3"/>
        <v/>
      </c>
      <c r="X40" s="11" t="str">
        <f t="shared" si="4"/>
        <v/>
      </c>
      <c r="Y40"/>
      <c r="AB40" s="42"/>
      <c r="AC40" s="42"/>
      <c r="AD40" s="42" t="str">
        <f t="shared" si="0"/>
        <v/>
      </c>
    </row>
    <row r="41" spans="1:30" x14ac:dyDescent="0.25">
      <c r="A41" s="12"/>
      <c r="B41" s="13"/>
      <c r="C41" s="9"/>
      <c r="D41" s="9"/>
      <c r="E41" s="9"/>
      <c r="F41" s="9"/>
      <c r="G41" s="9"/>
      <c r="H41" s="9"/>
      <c r="I41" s="9"/>
      <c r="J41" s="9"/>
      <c r="K41" s="9"/>
      <c r="L41" s="10" t="str">
        <f t="shared" si="1"/>
        <v/>
      </c>
      <c r="M41" s="9"/>
      <c r="N41" s="9"/>
      <c r="O41" s="9"/>
      <c r="P41" s="9"/>
      <c r="Q41" s="9"/>
      <c r="R41" s="9"/>
      <c r="S41" s="9"/>
      <c r="T41" s="9"/>
      <c r="U41" s="9"/>
      <c r="V41" s="10" t="str">
        <f t="shared" si="2"/>
        <v/>
      </c>
      <c r="W41" s="11" t="str">
        <f t="shared" si="3"/>
        <v/>
      </c>
      <c r="X41" s="11" t="str">
        <f t="shared" si="4"/>
        <v/>
      </c>
      <c r="Y41"/>
      <c r="AB41" s="42"/>
      <c r="AC41" s="42"/>
      <c r="AD41" s="42" t="str">
        <f t="shared" si="0"/>
        <v/>
      </c>
    </row>
    <row r="42" spans="1:30" x14ac:dyDescent="0.25">
      <c r="A42" s="12"/>
      <c r="B42" s="13"/>
      <c r="C42" s="9"/>
      <c r="D42" s="9"/>
      <c r="E42" s="9"/>
      <c r="F42" s="9"/>
      <c r="G42" s="9"/>
      <c r="H42" s="9"/>
      <c r="I42" s="9"/>
      <c r="J42" s="9"/>
      <c r="K42" s="9"/>
      <c r="L42" s="10" t="str">
        <f t="shared" si="1"/>
        <v/>
      </c>
      <c r="M42" s="9"/>
      <c r="N42" s="9"/>
      <c r="O42" s="9"/>
      <c r="P42" s="9"/>
      <c r="Q42" s="9"/>
      <c r="R42" s="9"/>
      <c r="S42" s="9"/>
      <c r="T42" s="9"/>
      <c r="U42" s="9"/>
      <c r="V42" s="10" t="str">
        <f t="shared" si="2"/>
        <v/>
      </c>
      <c r="W42" s="11" t="str">
        <f t="shared" si="3"/>
        <v/>
      </c>
      <c r="X42" s="11" t="str">
        <f t="shared" si="4"/>
        <v/>
      </c>
      <c r="Y42"/>
      <c r="AB42" s="42"/>
      <c r="AC42" s="42"/>
      <c r="AD42" s="42" t="str">
        <f t="shared" si="0"/>
        <v/>
      </c>
    </row>
    <row r="43" spans="1:30" x14ac:dyDescent="0.25">
      <c r="A43" s="12"/>
      <c r="B43" s="13"/>
      <c r="C43" s="9"/>
      <c r="D43" s="9"/>
      <c r="E43" s="9"/>
      <c r="F43" s="9"/>
      <c r="G43" s="9"/>
      <c r="H43" s="9"/>
      <c r="I43" s="9"/>
      <c r="J43" s="9"/>
      <c r="K43" s="9"/>
      <c r="L43" s="10" t="str">
        <f t="shared" ref="L43:L60" si="5">IF(C43&lt;&gt;"",SUM(C43:K43),"")</f>
        <v/>
      </c>
      <c r="M43" s="9"/>
      <c r="N43" s="9"/>
      <c r="O43" s="9"/>
      <c r="P43" s="9"/>
      <c r="Q43" s="9"/>
      <c r="R43" s="9"/>
      <c r="S43" s="9"/>
      <c r="T43" s="9"/>
      <c r="U43" s="9"/>
      <c r="V43" s="10" t="str">
        <f t="shared" si="2"/>
        <v/>
      </c>
      <c r="W43" s="11" t="str">
        <f t="shared" si="3"/>
        <v/>
      </c>
      <c r="X43" s="11" t="str">
        <f t="shared" si="4"/>
        <v/>
      </c>
      <c r="Y43"/>
      <c r="AB43" s="42"/>
      <c r="AC43" s="42"/>
      <c r="AD43" s="42" t="str">
        <f t="shared" si="0"/>
        <v/>
      </c>
    </row>
    <row r="44" spans="1:30" x14ac:dyDescent="0.25">
      <c r="A44" s="12"/>
      <c r="B44" s="13"/>
      <c r="C44" s="9"/>
      <c r="D44" s="9"/>
      <c r="E44" s="9"/>
      <c r="F44" s="9"/>
      <c r="G44" s="9"/>
      <c r="H44" s="9"/>
      <c r="I44" s="9"/>
      <c r="J44" s="9"/>
      <c r="K44" s="9"/>
      <c r="L44" s="10" t="str">
        <f t="shared" si="5"/>
        <v/>
      </c>
      <c r="M44" s="9"/>
      <c r="N44" s="9"/>
      <c r="O44" s="9"/>
      <c r="P44" s="9"/>
      <c r="Q44" s="9"/>
      <c r="R44" s="9"/>
      <c r="S44" s="9"/>
      <c r="T44" s="9"/>
      <c r="U44" s="9"/>
      <c r="V44" s="10" t="str">
        <f t="shared" si="2"/>
        <v/>
      </c>
      <c r="W44" s="11" t="str">
        <f t="shared" si="3"/>
        <v/>
      </c>
      <c r="X44" s="11" t="str">
        <f t="shared" si="4"/>
        <v/>
      </c>
      <c r="Y44"/>
      <c r="AB44" s="42"/>
      <c r="AC44" s="42"/>
      <c r="AD44" s="42" t="str">
        <f t="shared" si="0"/>
        <v/>
      </c>
    </row>
    <row r="45" spans="1:30" x14ac:dyDescent="0.25">
      <c r="A45" s="12"/>
      <c r="B45" s="13"/>
      <c r="C45" s="9"/>
      <c r="D45" s="9"/>
      <c r="E45" s="9"/>
      <c r="F45" s="9"/>
      <c r="G45" s="9"/>
      <c r="H45" s="9"/>
      <c r="I45" s="9"/>
      <c r="J45" s="9"/>
      <c r="K45" s="9"/>
      <c r="L45" s="10" t="str">
        <f t="shared" si="5"/>
        <v/>
      </c>
      <c r="M45" s="9"/>
      <c r="N45" s="9"/>
      <c r="O45" s="9"/>
      <c r="P45" s="9"/>
      <c r="Q45" s="9"/>
      <c r="R45" s="9"/>
      <c r="S45" s="9"/>
      <c r="T45" s="9"/>
      <c r="U45" s="9"/>
      <c r="V45" s="10" t="str">
        <f t="shared" si="2"/>
        <v/>
      </c>
      <c r="W45" s="11" t="str">
        <f t="shared" si="3"/>
        <v/>
      </c>
      <c r="X45" s="11" t="str">
        <f t="shared" si="4"/>
        <v/>
      </c>
      <c r="Y45"/>
      <c r="AB45" s="42"/>
      <c r="AC45" s="42"/>
      <c r="AD45" s="42" t="str">
        <f t="shared" si="0"/>
        <v/>
      </c>
    </row>
    <row r="46" spans="1:30" x14ac:dyDescent="0.25">
      <c r="A46" s="12"/>
      <c r="B46" s="13"/>
      <c r="C46" s="9"/>
      <c r="D46" s="9"/>
      <c r="E46" s="9"/>
      <c r="F46" s="9"/>
      <c r="G46" s="9"/>
      <c r="H46" s="9"/>
      <c r="I46" s="9"/>
      <c r="J46" s="9"/>
      <c r="K46" s="9"/>
      <c r="L46" s="10" t="str">
        <f t="shared" si="5"/>
        <v/>
      </c>
      <c r="M46" s="9"/>
      <c r="N46" s="9"/>
      <c r="O46" s="9"/>
      <c r="P46" s="9"/>
      <c r="Q46" s="9"/>
      <c r="R46" s="9"/>
      <c r="S46" s="9"/>
      <c r="T46" s="9"/>
      <c r="U46" s="9"/>
      <c r="V46" s="10" t="str">
        <f t="shared" si="2"/>
        <v/>
      </c>
      <c r="W46" s="11" t="str">
        <f t="shared" si="3"/>
        <v/>
      </c>
      <c r="X46" s="11" t="str">
        <f t="shared" si="4"/>
        <v/>
      </c>
      <c r="Y46"/>
      <c r="AB46" s="42"/>
      <c r="AC46" s="42"/>
      <c r="AD46" s="42" t="str">
        <f t="shared" si="0"/>
        <v/>
      </c>
    </row>
    <row r="47" spans="1:30" x14ac:dyDescent="0.25">
      <c r="A47" s="12"/>
      <c r="B47" s="13"/>
      <c r="C47" s="9"/>
      <c r="D47" s="9"/>
      <c r="E47" s="9"/>
      <c r="F47" s="9"/>
      <c r="G47" s="9"/>
      <c r="H47" s="9"/>
      <c r="I47" s="9"/>
      <c r="J47" s="9"/>
      <c r="K47" s="9"/>
      <c r="L47" s="10" t="str">
        <f t="shared" si="5"/>
        <v/>
      </c>
      <c r="M47" s="9"/>
      <c r="N47" s="9"/>
      <c r="O47" s="9"/>
      <c r="P47" s="9"/>
      <c r="Q47" s="9"/>
      <c r="R47" s="9"/>
      <c r="S47" s="9"/>
      <c r="T47" s="9"/>
      <c r="U47" s="9"/>
      <c r="V47" s="10" t="str">
        <f t="shared" si="2"/>
        <v/>
      </c>
      <c r="W47" s="11" t="str">
        <f t="shared" si="3"/>
        <v/>
      </c>
      <c r="X47" s="11" t="str">
        <f t="shared" si="4"/>
        <v/>
      </c>
      <c r="Y47"/>
      <c r="AB47" s="42"/>
      <c r="AC47" s="42"/>
      <c r="AD47" s="42" t="str">
        <f t="shared" si="0"/>
        <v/>
      </c>
    </row>
    <row r="48" spans="1:30" x14ac:dyDescent="0.25">
      <c r="A48" s="12"/>
      <c r="B48" s="13"/>
      <c r="C48" s="9"/>
      <c r="D48" s="9"/>
      <c r="E48" s="9"/>
      <c r="F48" s="9"/>
      <c r="G48" s="9"/>
      <c r="H48" s="9"/>
      <c r="I48" s="9"/>
      <c r="J48" s="9"/>
      <c r="K48" s="9"/>
      <c r="L48" s="10" t="str">
        <f t="shared" si="5"/>
        <v/>
      </c>
      <c r="M48" s="9"/>
      <c r="N48" s="9"/>
      <c r="O48" s="9"/>
      <c r="P48" s="9"/>
      <c r="Q48" s="9"/>
      <c r="R48" s="9"/>
      <c r="S48" s="9"/>
      <c r="T48" s="9"/>
      <c r="U48" s="9"/>
      <c r="V48" s="10" t="str">
        <f t="shared" si="2"/>
        <v/>
      </c>
      <c r="W48" s="11" t="str">
        <f t="shared" si="3"/>
        <v/>
      </c>
      <c r="X48" s="11" t="str">
        <f t="shared" si="4"/>
        <v/>
      </c>
      <c r="Y48"/>
      <c r="AB48" s="42"/>
      <c r="AC48" s="42"/>
      <c r="AD48" s="42" t="str">
        <f t="shared" si="0"/>
        <v/>
      </c>
    </row>
    <row r="49" spans="1:30" x14ac:dyDescent="0.25">
      <c r="A49" s="12"/>
      <c r="B49" s="13"/>
      <c r="C49" s="9"/>
      <c r="D49" s="9"/>
      <c r="E49" s="9"/>
      <c r="F49" s="9"/>
      <c r="G49" s="9"/>
      <c r="H49" s="9"/>
      <c r="I49" s="9"/>
      <c r="J49" s="9"/>
      <c r="K49" s="9"/>
      <c r="L49" s="10" t="str">
        <f t="shared" si="5"/>
        <v/>
      </c>
      <c r="M49" s="9"/>
      <c r="N49" s="9"/>
      <c r="O49" s="9"/>
      <c r="P49" s="9"/>
      <c r="Q49" s="9"/>
      <c r="R49" s="9"/>
      <c r="S49" s="9"/>
      <c r="T49" s="9"/>
      <c r="U49" s="9"/>
      <c r="V49" s="10" t="str">
        <f t="shared" si="2"/>
        <v/>
      </c>
      <c r="W49" s="11" t="str">
        <f t="shared" si="3"/>
        <v/>
      </c>
      <c r="X49" s="11" t="str">
        <f t="shared" si="4"/>
        <v/>
      </c>
      <c r="Y49"/>
      <c r="AB49" s="42"/>
      <c r="AC49" s="42"/>
      <c r="AD49" s="42" t="str">
        <f t="shared" si="0"/>
        <v/>
      </c>
    </row>
    <row r="50" spans="1:30" x14ac:dyDescent="0.25">
      <c r="A50" s="12"/>
      <c r="B50" s="13"/>
      <c r="C50" s="9"/>
      <c r="D50" s="9"/>
      <c r="E50" s="9"/>
      <c r="F50" s="9"/>
      <c r="G50" s="9"/>
      <c r="H50" s="9"/>
      <c r="I50" s="9"/>
      <c r="J50" s="9"/>
      <c r="K50" s="9"/>
      <c r="L50" s="10" t="str">
        <f t="shared" si="5"/>
        <v/>
      </c>
      <c r="M50" s="9"/>
      <c r="N50" s="9"/>
      <c r="O50" s="9"/>
      <c r="P50" s="9"/>
      <c r="Q50" s="9"/>
      <c r="R50" s="9"/>
      <c r="S50" s="9"/>
      <c r="T50" s="9"/>
      <c r="U50" s="9"/>
      <c r="V50" s="10" t="str">
        <f t="shared" si="2"/>
        <v/>
      </c>
      <c r="W50" s="11" t="str">
        <f t="shared" si="3"/>
        <v/>
      </c>
      <c r="X50" s="11" t="str">
        <f t="shared" si="4"/>
        <v/>
      </c>
      <c r="Y50"/>
      <c r="AB50" s="42"/>
      <c r="AC50" s="42"/>
      <c r="AD50" s="42" t="str">
        <f t="shared" si="0"/>
        <v/>
      </c>
    </row>
    <row r="51" spans="1:30" x14ac:dyDescent="0.25">
      <c r="A51" s="12"/>
      <c r="B51" s="13"/>
      <c r="C51" s="9"/>
      <c r="D51" s="9"/>
      <c r="E51" s="9"/>
      <c r="F51" s="9"/>
      <c r="G51" s="9"/>
      <c r="H51" s="9"/>
      <c r="I51" s="9"/>
      <c r="J51" s="9"/>
      <c r="K51" s="9"/>
      <c r="L51" s="10" t="str">
        <f t="shared" si="5"/>
        <v/>
      </c>
      <c r="M51" s="9"/>
      <c r="N51" s="9"/>
      <c r="O51" s="9"/>
      <c r="P51" s="9"/>
      <c r="Q51" s="9"/>
      <c r="R51" s="9"/>
      <c r="S51" s="9"/>
      <c r="T51" s="9"/>
      <c r="U51" s="9"/>
      <c r="V51" s="10" t="str">
        <f t="shared" si="2"/>
        <v/>
      </c>
      <c r="W51" s="11" t="str">
        <f t="shared" si="3"/>
        <v/>
      </c>
      <c r="X51" s="11" t="str">
        <f t="shared" si="4"/>
        <v/>
      </c>
      <c r="Y51"/>
      <c r="AB51" s="42"/>
      <c r="AC51" s="42"/>
      <c r="AD51" s="42" t="str">
        <f t="shared" si="0"/>
        <v/>
      </c>
    </row>
    <row r="52" spans="1:30" x14ac:dyDescent="0.25">
      <c r="A52" s="12"/>
      <c r="B52" s="13"/>
      <c r="C52" s="9"/>
      <c r="D52" s="9"/>
      <c r="E52" s="9"/>
      <c r="F52" s="9"/>
      <c r="G52" s="9"/>
      <c r="H52" s="9"/>
      <c r="I52" s="9"/>
      <c r="J52" s="9"/>
      <c r="K52" s="9"/>
      <c r="L52" s="10" t="str">
        <f t="shared" si="5"/>
        <v/>
      </c>
      <c r="M52" s="9"/>
      <c r="N52" s="9"/>
      <c r="O52" s="9"/>
      <c r="P52" s="9"/>
      <c r="Q52" s="9"/>
      <c r="R52" s="9"/>
      <c r="S52" s="9"/>
      <c r="T52" s="9"/>
      <c r="U52" s="9"/>
      <c r="V52" s="10" t="str">
        <f t="shared" si="2"/>
        <v/>
      </c>
      <c r="W52" s="11" t="str">
        <f t="shared" si="3"/>
        <v/>
      </c>
      <c r="X52" s="11" t="str">
        <f t="shared" si="4"/>
        <v/>
      </c>
      <c r="Y52"/>
      <c r="AB52" s="42"/>
      <c r="AC52" s="42"/>
      <c r="AD52" s="42" t="str">
        <f t="shared" si="0"/>
        <v/>
      </c>
    </row>
    <row r="53" spans="1:30" x14ac:dyDescent="0.25">
      <c r="A53" s="12"/>
      <c r="B53" s="13"/>
      <c r="C53" s="9"/>
      <c r="D53" s="9"/>
      <c r="E53" s="9"/>
      <c r="F53" s="9"/>
      <c r="G53" s="9"/>
      <c r="H53" s="9"/>
      <c r="I53" s="9"/>
      <c r="J53" s="9"/>
      <c r="K53" s="9"/>
      <c r="L53" s="10" t="str">
        <f t="shared" si="5"/>
        <v/>
      </c>
      <c r="M53" s="9"/>
      <c r="N53" s="9"/>
      <c r="O53" s="9"/>
      <c r="P53" s="9"/>
      <c r="Q53" s="9"/>
      <c r="R53" s="9"/>
      <c r="S53" s="9"/>
      <c r="T53" s="9"/>
      <c r="U53" s="9"/>
      <c r="V53" s="10" t="str">
        <f t="shared" si="2"/>
        <v/>
      </c>
      <c r="W53" s="11" t="str">
        <f t="shared" si="3"/>
        <v/>
      </c>
      <c r="X53" s="11" t="str">
        <f t="shared" si="4"/>
        <v/>
      </c>
      <c r="Y53"/>
      <c r="AB53" s="42"/>
      <c r="AC53" s="42"/>
      <c r="AD53" s="42" t="str">
        <f t="shared" si="0"/>
        <v/>
      </c>
    </row>
    <row r="54" spans="1:30" x14ac:dyDescent="0.25">
      <c r="A54" s="12"/>
      <c r="B54" s="13"/>
      <c r="C54" s="9"/>
      <c r="D54" s="9"/>
      <c r="E54" s="9"/>
      <c r="F54" s="9"/>
      <c r="G54" s="9"/>
      <c r="H54" s="9"/>
      <c r="I54" s="9"/>
      <c r="J54" s="9"/>
      <c r="K54" s="9"/>
      <c r="L54" s="10" t="str">
        <f t="shared" si="5"/>
        <v/>
      </c>
      <c r="M54" s="9"/>
      <c r="N54" s="9"/>
      <c r="O54" s="9"/>
      <c r="P54" s="9"/>
      <c r="Q54" s="9"/>
      <c r="R54" s="9"/>
      <c r="S54" s="9"/>
      <c r="T54" s="9"/>
      <c r="U54" s="9"/>
      <c r="V54" s="10" t="str">
        <f t="shared" si="2"/>
        <v/>
      </c>
      <c r="W54" s="11" t="str">
        <f t="shared" si="3"/>
        <v/>
      </c>
      <c r="X54" s="11" t="str">
        <f t="shared" si="4"/>
        <v/>
      </c>
      <c r="Y54"/>
      <c r="AB54" s="42"/>
      <c r="AC54" s="42"/>
      <c r="AD54" s="42" t="str">
        <f t="shared" si="0"/>
        <v/>
      </c>
    </row>
    <row r="55" spans="1:30" x14ac:dyDescent="0.25">
      <c r="A55" s="12"/>
      <c r="B55" s="13"/>
      <c r="C55" s="9"/>
      <c r="D55" s="9"/>
      <c r="E55" s="9"/>
      <c r="F55" s="9"/>
      <c r="G55" s="9"/>
      <c r="H55" s="9"/>
      <c r="I55" s="9"/>
      <c r="J55" s="9"/>
      <c r="K55" s="9"/>
      <c r="L55" s="10" t="str">
        <f t="shared" si="5"/>
        <v/>
      </c>
      <c r="M55" s="9"/>
      <c r="N55" s="9"/>
      <c r="O55" s="9"/>
      <c r="P55" s="9"/>
      <c r="Q55" s="9"/>
      <c r="R55" s="9"/>
      <c r="S55" s="9"/>
      <c r="T55" s="9"/>
      <c r="U55" s="9"/>
      <c r="V55" s="10" t="str">
        <f t="shared" si="2"/>
        <v/>
      </c>
      <c r="W55" s="11" t="str">
        <f t="shared" si="3"/>
        <v/>
      </c>
      <c r="X55" s="11" t="str">
        <f t="shared" si="4"/>
        <v/>
      </c>
      <c r="Y55"/>
      <c r="AB55" s="42"/>
      <c r="AC55" s="42"/>
      <c r="AD55" s="42" t="str">
        <f t="shared" si="0"/>
        <v/>
      </c>
    </row>
    <row r="56" spans="1:30" x14ac:dyDescent="0.25">
      <c r="A56" s="12"/>
      <c r="B56" s="13"/>
      <c r="C56" s="9"/>
      <c r="D56" s="9"/>
      <c r="E56" s="9"/>
      <c r="F56" s="9"/>
      <c r="G56" s="9"/>
      <c r="H56" s="9"/>
      <c r="I56" s="9"/>
      <c r="J56" s="9"/>
      <c r="K56" s="9"/>
      <c r="L56" s="10" t="str">
        <f t="shared" si="5"/>
        <v/>
      </c>
      <c r="M56" s="9"/>
      <c r="N56" s="9"/>
      <c r="O56" s="9"/>
      <c r="P56" s="9"/>
      <c r="Q56" s="9"/>
      <c r="R56" s="9"/>
      <c r="S56" s="9"/>
      <c r="T56" s="9"/>
      <c r="U56" s="9"/>
      <c r="V56" s="10" t="str">
        <f t="shared" si="2"/>
        <v/>
      </c>
      <c r="W56" s="11" t="str">
        <f t="shared" si="3"/>
        <v/>
      </c>
      <c r="X56" s="11" t="str">
        <f t="shared" si="4"/>
        <v/>
      </c>
      <c r="Y56"/>
      <c r="AB56" s="42"/>
      <c r="AC56" s="42"/>
      <c r="AD56" s="42" t="str">
        <f t="shared" si="0"/>
        <v/>
      </c>
    </row>
    <row r="57" spans="1:30" x14ac:dyDescent="0.25">
      <c r="A57" s="12"/>
      <c r="B57" s="13"/>
      <c r="C57" s="9"/>
      <c r="D57" s="9"/>
      <c r="E57" s="9"/>
      <c r="F57" s="9"/>
      <c r="G57" s="9"/>
      <c r="H57" s="9"/>
      <c r="I57" s="9"/>
      <c r="J57" s="9"/>
      <c r="K57" s="9"/>
      <c r="L57" s="10" t="str">
        <f t="shared" si="5"/>
        <v/>
      </c>
      <c r="M57" s="9"/>
      <c r="N57" s="9"/>
      <c r="O57" s="9"/>
      <c r="P57" s="9"/>
      <c r="Q57" s="9"/>
      <c r="R57" s="9"/>
      <c r="S57" s="9"/>
      <c r="T57" s="9"/>
      <c r="U57" s="9"/>
      <c r="V57" s="10" t="str">
        <f t="shared" si="2"/>
        <v/>
      </c>
      <c r="W57" s="11" t="str">
        <f t="shared" si="3"/>
        <v/>
      </c>
      <c r="X57" s="11" t="str">
        <f t="shared" si="4"/>
        <v/>
      </c>
      <c r="Y57"/>
      <c r="AB57" s="42"/>
      <c r="AC57" s="42"/>
      <c r="AD57" s="42" t="str">
        <f t="shared" si="0"/>
        <v/>
      </c>
    </row>
    <row r="58" spans="1:30" x14ac:dyDescent="0.25">
      <c r="A58" s="12"/>
      <c r="B58" s="13"/>
      <c r="C58" s="9"/>
      <c r="D58" s="9"/>
      <c r="E58" s="9"/>
      <c r="F58" s="9"/>
      <c r="G58" s="9"/>
      <c r="H58" s="9"/>
      <c r="I58" s="9"/>
      <c r="J58" s="9"/>
      <c r="K58" s="9"/>
      <c r="L58" s="10" t="str">
        <f t="shared" si="5"/>
        <v/>
      </c>
      <c r="M58" s="9"/>
      <c r="N58" s="9"/>
      <c r="O58" s="9"/>
      <c r="P58" s="9"/>
      <c r="Q58" s="9"/>
      <c r="R58" s="9"/>
      <c r="S58" s="9"/>
      <c r="T58" s="9"/>
      <c r="U58" s="9"/>
      <c r="V58" s="10" t="str">
        <f t="shared" si="2"/>
        <v/>
      </c>
      <c r="W58" s="11" t="str">
        <f t="shared" si="3"/>
        <v/>
      </c>
      <c r="X58" s="11" t="str">
        <f t="shared" si="4"/>
        <v/>
      </c>
      <c r="Y58"/>
      <c r="AB58" s="42"/>
      <c r="AC58" s="42"/>
      <c r="AD58" s="42" t="str">
        <f t="shared" si="0"/>
        <v/>
      </c>
    </row>
    <row r="59" spans="1:30" x14ac:dyDescent="0.25">
      <c r="A59" s="12"/>
      <c r="B59" s="13"/>
      <c r="C59" s="9"/>
      <c r="D59" s="9"/>
      <c r="E59" s="9"/>
      <c r="F59" s="9"/>
      <c r="G59" s="9"/>
      <c r="H59" s="9"/>
      <c r="I59" s="9"/>
      <c r="J59" s="9"/>
      <c r="K59" s="9"/>
      <c r="L59" s="10" t="str">
        <f t="shared" si="5"/>
        <v/>
      </c>
      <c r="M59" s="9"/>
      <c r="N59" s="9"/>
      <c r="O59" s="9"/>
      <c r="P59" s="9"/>
      <c r="Q59" s="9"/>
      <c r="R59" s="9"/>
      <c r="S59" s="9"/>
      <c r="T59" s="9"/>
      <c r="U59" s="9"/>
      <c r="V59" s="10" t="str">
        <f t="shared" si="2"/>
        <v/>
      </c>
      <c r="W59" s="11" t="str">
        <f t="shared" si="3"/>
        <v/>
      </c>
      <c r="X59" s="11" t="str">
        <f t="shared" si="4"/>
        <v/>
      </c>
      <c r="Y59"/>
      <c r="AB59" s="42"/>
      <c r="AC59" s="42"/>
      <c r="AD59" s="42" t="str">
        <f t="shared" si="0"/>
        <v/>
      </c>
    </row>
    <row r="60" spans="1:30" x14ac:dyDescent="0.25">
      <c r="A60" s="45"/>
      <c r="B60" s="14"/>
      <c r="C60" s="15"/>
      <c r="D60" s="15"/>
      <c r="E60" s="15"/>
      <c r="F60" s="15"/>
      <c r="G60" s="15"/>
      <c r="H60" s="15"/>
      <c r="I60" s="15"/>
      <c r="J60" s="15"/>
      <c r="K60" s="15"/>
      <c r="L60" s="16" t="str">
        <f t="shared" si="5"/>
        <v/>
      </c>
      <c r="M60" s="15"/>
      <c r="N60" s="15"/>
      <c r="O60" s="15"/>
      <c r="P60" s="15"/>
      <c r="Q60" s="15"/>
      <c r="R60" s="15"/>
      <c r="S60" s="15"/>
      <c r="T60" s="15"/>
      <c r="U60" s="15"/>
      <c r="V60" s="16" t="str">
        <f t="shared" si="2"/>
        <v/>
      </c>
      <c r="W60" s="17" t="str">
        <f t="shared" si="3"/>
        <v/>
      </c>
      <c r="X60" s="17" t="str">
        <f t="shared" si="4"/>
        <v/>
      </c>
      <c r="Y60"/>
      <c r="AB60" s="42"/>
      <c r="AC60" s="42"/>
      <c r="AD60" s="42" t="str">
        <f t="shared" si="0"/>
        <v/>
      </c>
    </row>
  </sheetData>
  <sheetProtection sheet="1" objects="1" scenarios="1" selectLockedCells="1"/>
  <mergeCells count="47">
    <mergeCell ref="B1:C1"/>
    <mergeCell ref="D1:E1"/>
    <mergeCell ref="G1:L1"/>
    <mergeCell ref="M1:N1"/>
    <mergeCell ref="P1:V1"/>
    <mergeCell ref="R2:S2"/>
    <mergeCell ref="T2:U2"/>
    <mergeCell ref="B3:C3"/>
    <mergeCell ref="D3:E3"/>
    <mergeCell ref="G3:L3"/>
    <mergeCell ref="M3:N3"/>
    <mergeCell ref="P3:Q3"/>
    <mergeCell ref="R3:S3"/>
    <mergeCell ref="T3:U3"/>
    <mergeCell ref="B2:C2"/>
    <mergeCell ref="D2:E2"/>
    <mergeCell ref="G2:L2"/>
    <mergeCell ref="M2:N2"/>
    <mergeCell ref="P2:Q2"/>
    <mergeCell ref="T4:U4"/>
    <mergeCell ref="B5:C5"/>
    <mergeCell ref="D5:E5"/>
    <mergeCell ref="G5:L5"/>
    <mergeCell ref="M5:N5"/>
    <mergeCell ref="P5:Q5"/>
    <mergeCell ref="R5:S5"/>
    <mergeCell ref="T5:U5"/>
    <mergeCell ref="B4:C4"/>
    <mergeCell ref="D4:E4"/>
    <mergeCell ref="G4:L4"/>
    <mergeCell ref="M4:N4"/>
    <mergeCell ref="P4:Q4"/>
    <mergeCell ref="R4:S4"/>
    <mergeCell ref="T6:U6"/>
    <mergeCell ref="B7:C7"/>
    <mergeCell ref="D7:E7"/>
    <mergeCell ref="G7:L7"/>
    <mergeCell ref="M7:N7"/>
    <mergeCell ref="P7:Q7"/>
    <mergeCell ref="R7:S7"/>
    <mergeCell ref="T7:U7"/>
    <mergeCell ref="B6:C6"/>
    <mergeCell ref="D6:E6"/>
    <mergeCell ref="G6:L6"/>
    <mergeCell ref="M6:N6"/>
    <mergeCell ref="P6:Q6"/>
    <mergeCell ref="R6:S6"/>
  </mergeCells>
  <dataValidations count="1">
    <dataValidation type="list" allowBlank="1" showInputMessage="1" showErrorMessage="1" sqref="B11:B60" xr:uid="{00000000-0002-0000-0600-000000000000}">
      <formula1>$AB:$AB</formula1>
    </dataValidation>
  </dataValidations>
  <printOptions horizontalCentered="1"/>
  <pageMargins left="0.7" right="0.7" top="0.75" bottom="0.75" header="0.3" footer="0.3"/>
  <pageSetup scale="76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AD60"/>
  <sheetViews>
    <sheetView workbookViewId="0">
      <pane ySplit="10" topLeftCell="A11" activePane="bottomLeft" state="frozen"/>
      <selection pane="bottomLeft" activeCell="A11" sqref="A11"/>
    </sheetView>
  </sheetViews>
  <sheetFormatPr defaultRowHeight="15" x14ac:dyDescent="0.25"/>
  <cols>
    <col min="1" max="1" width="9.85546875" customWidth="1"/>
    <col min="2" max="2" width="16.42578125" customWidth="1"/>
    <col min="3" max="3" width="3" customWidth="1"/>
    <col min="4" max="11" width="3" style="1" customWidth="1"/>
    <col min="12" max="12" width="5.28515625" style="1" customWidth="1"/>
    <col min="13" max="21" width="3" style="1" customWidth="1"/>
    <col min="22" max="24" width="5.28515625" style="1" customWidth="1"/>
    <col min="25" max="25" width="2" style="1" customWidth="1"/>
    <col min="26" max="26" width="10.5703125" customWidth="1"/>
    <col min="27" max="27" width="10.7109375" customWidth="1"/>
    <col min="28" max="28" width="19.85546875" style="44" customWidth="1"/>
    <col min="29" max="29" width="4.5703125" style="44" customWidth="1"/>
    <col min="30" max="30" width="4.28515625" style="44" customWidth="1"/>
  </cols>
  <sheetData>
    <row r="1" spans="1:30" x14ac:dyDescent="0.25">
      <c r="A1" s="2"/>
      <c r="B1" s="48" t="s">
        <v>39</v>
      </c>
      <c r="C1" s="49"/>
      <c r="D1" s="50" t="e">
        <f>ROUND(AVERAGE(W11:W60),0)</f>
        <v>#DIV/0!</v>
      </c>
      <c r="E1" s="51"/>
      <c r="G1" s="57" t="s">
        <v>2</v>
      </c>
      <c r="H1" s="58"/>
      <c r="I1" s="58"/>
      <c r="J1" s="58"/>
      <c r="K1" s="58"/>
      <c r="L1" s="58"/>
      <c r="M1" s="59">
        <f>MIN(W11:W60)</f>
        <v>0</v>
      </c>
      <c r="N1" s="60"/>
      <c r="P1" s="61" t="s">
        <v>0</v>
      </c>
      <c r="Q1" s="62"/>
      <c r="R1" s="62"/>
      <c r="S1" s="62"/>
      <c r="T1" s="62"/>
      <c r="U1" s="62"/>
      <c r="V1" s="63"/>
      <c r="Z1" s="35"/>
      <c r="AA1" s="35"/>
      <c r="AB1" s="41" t="s">
        <v>37</v>
      </c>
      <c r="AC1" s="41" t="s">
        <v>35</v>
      </c>
      <c r="AD1" s="41" t="s">
        <v>36</v>
      </c>
    </row>
    <row r="2" spans="1:30" x14ac:dyDescent="0.25">
      <c r="A2" s="2"/>
      <c r="B2" s="48" t="s">
        <v>42</v>
      </c>
      <c r="C2" s="49"/>
      <c r="D2" s="50" t="e">
        <f>AVERAGEIF(X:X,"&gt;0")</f>
        <v>#DIV/0!</v>
      </c>
      <c r="E2" s="51"/>
      <c r="G2" s="48"/>
      <c r="H2" s="49"/>
      <c r="I2" s="49"/>
      <c r="J2" s="49"/>
      <c r="K2" s="49"/>
      <c r="L2" s="49"/>
      <c r="M2" s="54"/>
      <c r="N2" s="55"/>
      <c r="P2" s="46" t="s">
        <v>3</v>
      </c>
      <c r="Q2" s="47"/>
      <c r="R2" s="53">
        <v>260</v>
      </c>
      <c r="S2" s="53"/>
      <c r="T2" s="52" t="s">
        <v>4</v>
      </c>
      <c r="U2" s="47"/>
      <c r="V2" s="3">
        <v>160</v>
      </c>
      <c r="Z2" s="36"/>
      <c r="AA2" s="36"/>
      <c r="AB2" s="42"/>
      <c r="AC2" s="42"/>
      <c r="AD2" s="42" t="str">
        <f>IF(AC2&lt;&gt;"",AC2-72,"")</f>
        <v/>
      </c>
    </row>
    <row r="3" spans="1:30" x14ac:dyDescent="0.25">
      <c r="A3" s="2"/>
      <c r="B3" s="48" t="s">
        <v>10</v>
      </c>
      <c r="C3" s="49"/>
      <c r="D3" s="50">
        <f>COUNTIF(C11:V60,-1)</f>
        <v>0</v>
      </c>
      <c r="E3" s="51"/>
      <c r="G3" s="48" t="s">
        <v>11</v>
      </c>
      <c r="H3" s="49"/>
      <c r="I3" s="49"/>
      <c r="J3" s="49"/>
      <c r="K3" s="49"/>
      <c r="L3" s="49"/>
      <c r="M3" s="54" t="e">
        <f>D3/$M$7</f>
        <v>#DIV/0!</v>
      </c>
      <c r="N3" s="55"/>
      <c r="P3" s="46" t="s">
        <v>7</v>
      </c>
      <c r="Q3" s="47"/>
      <c r="R3" s="53">
        <v>210</v>
      </c>
      <c r="S3" s="53"/>
      <c r="T3" s="52" t="s">
        <v>8</v>
      </c>
      <c r="U3" s="47"/>
      <c r="V3" s="3">
        <v>150</v>
      </c>
      <c r="Z3" s="36"/>
      <c r="AA3" s="36"/>
      <c r="AB3" s="42" t="s">
        <v>9</v>
      </c>
      <c r="AC3" s="42">
        <v>72</v>
      </c>
      <c r="AD3" s="42">
        <f t="shared" ref="AD3:AD60" si="0">IF(AC3&lt;&gt;"",AC3-72,"")</f>
        <v>0</v>
      </c>
    </row>
    <row r="4" spans="1:30" x14ac:dyDescent="0.25">
      <c r="B4" s="48" t="s">
        <v>15</v>
      </c>
      <c r="C4" s="49"/>
      <c r="D4" s="50">
        <f>COUNTIF(C11:V60,0)</f>
        <v>0</v>
      </c>
      <c r="E4" s="51"/>
      <c r="G4" s="48" t="s">
        <v>16</v>
      </c>
      <c r="H4" s="49"/>
      <c r="I4" s="49"/>
      <c r="J4" s="49"/>
      <c r="K4" s="49"/>
      <c r="L4" s="49"/>
      <c r="M4" s="54" t="e">
        <f>D4/$M$7</f>
        <v>#DIV/0!</v>
      </c>
      <c r="N4" s="55"/>
      <c r="P4" s="46" t="s">
        <v>12</v>
      </c>
      <c r="Q4" s="47"/>
      <c r="R4" s="53"/>
      <c r="S4" s="53"/>
      <c r="T4" s="52" t="s">
        <v>13</v>
      </c>
      <c r="U4" s="47"/>
      <c r="V4" s="3">
        <v>140</v>
      </c>
      <c r="Z4" s="36"/>
      <c r="AA4" s="36"/>
      <c r="AB4" s="42" t="s">
        <v>24</v>
      </c>
      <c r="AC4" s="42">
        <v>72</v>
      </c>
      <c r="AD4" s="42">
        <f t="shared" si="0"/>
        <v>0</v>
      </c>
    </row>
    <row r="5" spans="1:30" x14ac:dyDescent="0.25">
      <c r="B5" s="48" t="s">
        <v>20</v>
      </c>
      <c r="C5" s="49"/>
      <c r="D5" s="50">
        <f>COUNTIF(C11:V60,1)</f>
        <v>0</v>
      </c>
      <c r="E5" s="51"/>
      <c r="G5" s="48" t="s">
        <v>21</v>
      </c>
      <c r="H5" s="49"/>
      <c r="I5" s="49"/>
      <c r="J5" s="49"/>
      <c r="K5" s="49"/>
      <c r="L5" s="49"/>
      <c r="M5" s="54" t="e">
        <f>D5/$M$7</f>
        <v>#DIV/0!</v>
      </c>
      <c r="N5" s="55"/>
      <c r="P5" s="56" t="s">
        <v>17</v>
      </c>
      <c r="Q5" s="47"/>
      <c r="R5" s="53"/>
      <c r="S5" s="53"/>
      <c r="T5" s="52" t="s">
        <v>18</v>
      </c>
      <c r="U5" s="47"/>
      <c r="V5" s="3">
        <v>130</v>
      </c>
      <c r="Z5" s="36"/>
      <c r="AA5" s="36"/>
      <c r="AB5" s="42" t="s">
        <v>19</v>
      </c>
      <c r="AC5" s="42">
        <v>72</v>
      </c>
      <c r="AD5" s="42">
        <f t="shared" si="0"/>
        <v>0</v>
      </c>
    </row>
    <row r="6" spans="1:30" x14ac:dyDescent="0.25">
      <c r="B6" s="48" t="s">
        <v>25</v>
      </c>
      <c r="C6" s="49"/>
      <c r="D6" s="50">
        <f>COUNTIF(C11:V60,2)</f>
        <v>0</v>
      </c>
      <c r="E6" s="51"/>
      <c r="G6" s="48" t="s">
        <v>26</v>
      </c>
      <c r="H6" s="49"/>
      <c r="I6" s="49"/>
      <c r="J6" s="49"/>
      <c r="K6" s="49"/>
      <c r="L6" s="49"/>
      <c r="M6" s="54" t="e">
        <f>D6/$M$7</f>
        <v>#DIV/0!</v>
      </c>
      <c r="N6" s="55"/>
      <c r="P6" s="56" t="s">
        <v>22</v>
      </c>
      <c r="Q6" s="47"/>
      <c r="R6" s="53">
        <v>180</v>
      </c>
      <c r="S6" s="53"/>
      <c r="T6" s="46" t="s">
        <v>23</v>
      </c>
      <c r="U6" s="47"/>
      <c r="V6" s="3">
        <v>120</v>
      </c>
      <c r="Z6" s="36"/>
      <c r="AA6" s="36"/>
      <c r="AB6" s="42" t="s">
        <v>34</v>
      </c>
      <c r="AC6" s="42">
        <v>70</v>
      </c>
      <c r="AD6" s="42">
        <f t="shared" si="0"/>
        <v>-2</v>
      </c>
    </row>
    <row r="7" spans="1:30" x14ac:dyDescent="0.25">
      <c r="B7" s="48" t="s">
        <v>40</v>
      </c>
      <c r="C7" s="49"/>
      <c r="D7" s="50">
        <f>COUNTA(A10:A60)-1</f>
        <v>0</v>
      </c>
      <c r="E7" s="51"/>
      <c r="G7" s="48" t="s">
        <v>38</v>
      </c>
      <c r="H7" s="49"/>
      <c r="I7" s="49"/>
      <c r="J7" s="49"/>
      <c r="K7" s="49"/>
      <c r="L7" s="49"/>
      <c r="M7" s="50">
        <f>COUNT(C11:K60)+COUNT(M11:U60)</f>
        <v>0</v>
      </c>
      <c r="N7" s="51"/>
      <c r="P7" s="52" t="s">
        <v>27</v>
      </c>
      <c r="Q7" s="47"/>
      <c r="R7" s="53">
        <v>170</v>
      </c>
      <c r="S7" s="53"/>
      <c r="T7" s="46" t="s">
        <v>28</v>
      </c>
      <c r="U7" s="47"/>
      <c r="V7" s="3">
        <v>80</v>
      </c>
      <c r="Z7" s="36"/>
      <c r="AA7" s="36"/>
      <c r="AB7" s="42" t="s">
        <v>14</v>
      </c>
      <c r="AC7" s="42">
        <v>72</v>
      </c>
      <c r="AD7" s="42">
        <f t="shared" si="0"/>
        <v>0</v>
      </c>
    </row>
    <row r="8" spans="1:30" x14ac:dyDescent="0.25">
      <c r="O8" s="37"/>
      <c r="P8" s="38"/>
      <c r="Q8" s="39"/>
      <c r="R8" s="40"/>
      <c r="S8" s="40"/>
      <c r="T8" s="39"/>
      <c r="U8" s="39"/>
      <c r="V8" s="40"/>
      <c r="W8" s="37"/>
      <c r="Z8" s="36"/>
      <c r="AA8" s="36"/>
      <c r="AB8" s="42" t="s">
        <v>43</v>
      </c>
      <c r="AC8" s="42">
        <v>72</v>
      </c>
      <c r="AD8" s="42">
        <f t="shared" si="0"/>
        <v>0</v>
      </c>
    </row>
    <row r="9" spans="1:30" x14ac:dyDescent="0.25">
      <c r="Z9" s="36"/>
      <c r="AA9" s="36"/>
      <c r="AB9" s="42"/>
      <c r="AC9" s="42"/>
      <c r="AD9" s="42" t="str">
        <f t="shared" si="0"/>
        <v/>
      </c>
    </row>
    <row r="10" spans="1:30" s="6" customFormat="1" x14ac:dyDescent="0.25">
      <c r="A10" s="4" t="s">
        <v>29</v>
      </c>
      <c r="B10" s="4" t="s">
        <v>1</v>
      </c>
      <c r="C10" s="4">
        <v>1</v>
      </c>
      <c r="D10" s="4">
        <v>2</v>
      </c>
      <c r="E10" s="4">
        <v>3</v>
      </c>
      <c r="F10" s="4">
        <v>4</v>
      </c>
      <c r="G10" s="4">
        <v>5</v>
      </c>
      <c r="H10" s="4">
        <v>6</v>
      </c>
      <c r="I10" s="4">
        <v>7</v>
      </c>
      <c r="J10" s="4">
        <v>8</v>
      </c>
      <c r="K10" s="4">
        <v>9</v>
      </c>
      <c r="L10" s="5" t="s">
        <v>30</v>
      </c>
      <c r="M10" s="4">
        <v>10</v>
      </c>
      <c r="N10" s="4">
        <v>11</v>
      </c>
      <c r="O10" s="4">
        <v>12</v>
      </c>
      <c r="P10" s="4">
        <v>13</v>
      </c>
      <c r="Q10" s="4">
        <v>14</v>
      </c>
      <c r="R10" s="4">
        <v>15</v>
      </c>
      <c r="S10" s="4">
        <v>16</v>
      </c>
      <c r="T10" s="4">
        <v>17</v>
      </c>
      <c r="U10" s="4">
        <v>18</v>
      </c>
      <c r="V10" s="5" t="s">
        <v>31</v>
      </c>
      <c r="W10" s="4" t="s">
        <v>32</v>
      </c>
      <c r="X10" s="4" t="s">
        <v>33</v>
      </c>
      <c r="AB10" s="43"/>
      <c r="AC10" s="43"/>
      <c r="AD10" s="42" t="str">
        <f t="shared" si="0"/>
        <v/>
      </c>
    </row>
    <row r="11" spans="1:30" x14ac:dyDescent="0.25">
      <c r="A11" s="7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tr">
        <f t="shared" ref="L11:L42" si="1">IF(C11&lt;&gt;"",SUM(C11:K11),"")</f>
        <v/>
      </c>
      <c r="M11" s="9"/>
      <c r="N11" s="9"/>
      <c r="O11" s="9"/>
      <c r="P11" s="9"/>
      <c r="Q11" s="9"/>
      <c r="R11" s="9"/>
      <c r="S11" s="9"/>
      <c r="T11" s="9"/>
      <c r="U11" s="9"/>
      <c r="V11" s="10" t="str">
        <f t="shared" ref="V11:V60" si="2">IF(M11&lt;&gt;"",SUM(M11:U11),"")</f>
        <v/>
      </c>
      <c r="W11" s="11" t="str">
        <f t="shared" ref="W11:W60" si="3">IF(L11&lt;&gt;"",IF(M11="",(L11*2+(LOOKUP(B11,AB:AB,AD:AD)))+72,L11+V11+72+LOOKUP(B11,AB:AB,AD:AD)),"")</f>
        <v/>
      </c>
      <c r="X11" s="11" t="str">
        <f t="shared" ref="X11:X60" si="4">IF(W11&lt;&gt;"",W11-72,"")</f>
        <v/>
      </c>
      <c r="Y11"/>
      <c r="AB11" s="42"/>
      <c r="AC11" s="42"/>
      <c r="AD11" s="42" t="str">
        <f t="shared" si="0"/>
        <v/>
      </c>
    </row>
    <row r="12" spans="1:30" x14ac:dyDescent="0.25">
      <c r="A12" s="12"/>
      <c r="B12" s="13"/>
      <c r="C12" s="9"/>
      <c r="D12" s="9"/>
      <c r="E12" s="9"/>
      <c r="F12" s="9"/>
      <c r="G12" s="9"/>
      <c r="H12" s="9"/>
      <c r="I12" s="9"/>
      <c r="J12" s="9"/>
      <c r="K12" s="9"/>
      <c r="L12" s="10" t="str">
        <f t="shared" si="1"/>
        <v/>
      </c>
      <c r="M12" s="9"/>
      <c r="N12" s="9"/>
      <c r="O12" s="9"/>
      <c r="P12" s="9"/>
      <c r="Q12" s="9"/>
      <c r="R12" s="9"/>
      <c r="S12" s="9"/>
      <c r="T12" s="9"/>
      <c r="U12" s="9"/>
      <c r="V12" s="10" t="str">
        <f t="shared" si="2"/>
        <v/>
      </c>
      <c r="W12" s="11" t="str">
        <f t="shared" si="3"/>
        <v/>
      </c>
      <c r="X12" s="11" t="str">
        <f t="shared" si="4"/>
        <v/>
      </c>
      <c r="Y12"/>
      <c r="AB12" s="42"/>
      <c r="AC12" s="42"/>
      <c r="AD12" s="42" t="str">
        <f t="shared" si="0"/>
        <v/>
      </c>
    </row>
    <row r="13" spans="1:30" x14ac:dyDescent="0.25">
      <c r="A13" s="12"/>
      <c r="B13" s="13"/>
      <c r="C13" s="9"/>
      <c r="D13" s="9"/>
      <c r="E13" s="9"/>
      <c r="F13" s="9"/>
      <c r="G13" s="9"/>
      <c r="H13" s="9"/>
      <c r="I13" s="9"/>
      <c r="J13" s="9"/>
      <c r="K13" s="9"/>
      <c r="L13" s="10" t="str">
        <f t="shared" si="1"/>
        <v/>
      </c>
      <c r="M13" s="9"/>
      <c r="N13" s="9"/>
      <c r="O13" s="9"/>
      <c r="P13" s="9"/>
      <c r="Q13" s="9"/>
      <c r="R13" s="9"/>
      <c r="S13" s="9"/>
      <c r="T13" s="9"/>
      <c r="U13" s="9"/>
      <c r="V13" s="10" t="str">
        <f t="shared" si="2"/>
        <v/>
      </c>
      <c r="W13" s="11" t="str">
        <f t="shared" si="3"/>
        <v/>
      </c>
      <c r="X13" s="11" t="str">
        <f t="shared" si="4"/>
        <v/>
      </c>
      <c r="Y13"/>
      <c r="AB13" s="42"/>
      <c r="AC13" s="42"/>
      <c r="AD13" s="42" t="str">
        <f t="shared" si="0"/>
        <v/>
      </c>
    </row>
    <row r="14" spans="1:30" x14ac:dyDescent="0.25">
      <c r="A14" s="12"/>
      <c r="B14" s="13"/>
      <c r="C14" s="9"/>
      <c r="D14" s="9"/>
      <c r="E14" s="9"/>
      <c r="F14" s="9"/>
      <c r="G14" s="9"/>
      <c r="H14" s="9"/>
      <c r="I14" s="9"/>
      <c r="J14" s="9"/>
      <c r="K14" s="9"/>
      <c r="L14" s="10" t="str">
        <f t="shared" si="1"/>
        <v/>
      </c>
      <c r="M14" s="9"/>
      <c r="N14" s="9"/>
      <c r="O14" s="9"/>
      <c r="P14" s="9"/>
      <c r="Q14" s="9"/>
      <c r="R14" s="9"/>
      <c r="S14" s="9"/>
      <c r="T14" s="9"/>
      <c r="U14" s="9"/>
      <c r="V14" s="10" t="str">
        <f t="shared" si="2"/>
        <v/>
      </c>
      <c r="W14" s="11" t="str">
        <f t="shared" si="3"/>
        <v/>
      </c>
      <c r="X14" s="11" t="str">
        <f t="shared" si="4"/>
        <v/>
      </c>
      <c r="Y14"/>
      <c r="AB14" s="42"/>
      <c r="AC14" s="42"/>
      <c r="AD14" s="42" t="str">
        <f t="shared" si="0"/>
        <v/>
      </c>
    </row>
    <row r="15" spans="1:30" x14ac:dyDescent="0.25">
      <c r="A15" s="12"/>
      <c r="B15" s="13"/>
      <c r="C15" s="9"/>
      <c r="D15" s="9"/>
      <c r="E15" s="9"/>
      <c r="F15" s="9"/>
      <c r="G15" s="9"/>
      <c r="H15" s="9"/>
      <c r="I15" s="9"/>
      <c r="J15" s="9"/>
      <c r="K15" s="9"/>
      <c r="L15" s="10" t="str">
        <f t="shared" si="1"/>
        <v/>
      </c>
      <c r="M15" s="9"/>
      <c r="N15" s="9"/>
      <c r="O15" s="9"/>
      <c r="P15" s="9"/>
      <c r="Q15" s="9"/>
      <c r="R15" s="9"/>
      <c r="S15" s="9"/>
      <c r="T15" s="9"/>
      <c r="U15" s="9"/>
      <c r="V15" s="10" t="str">
        <f t="shared" si="2"/>
        <v/>
      </c>
      <c r="W15" s="11" t="str">
        <f t="shared" si="3"/>
        <v/>
      </c>
      <c r="X15" s="11" t="str">
        <f t="shared" si="4"/>
        <v/>
      </c>
      <c r="Y15"/>
      <c r="AB15" s="42"/>
      <c r="AC15" s="42"/>
      <c r="AD15" s="42" t="str">
        <f t="shared" si="0"/>
        <v/>
      </c>
    </row>
    <row r="16" spans="1:30" x14ac:dyDescent="0.25">
      <c r="A16" s="12"/>
      <c r="B16" s="13"/>
      <c r="C16" s="9"/>
      <c r="D16" s="9"/>
      <c r="E16" s="9"/>
      <c r="F16" s="9"/>
      <c r="G16" s="9"/>
      <c r="H16" s="9"/>
      <c r="I16" s="9"/>
      <c r="J16" s="9"/>
      <c r="K16" s="9"/>
      <c r="L16" s="10" t="str">
        <f t="shared" si="1"/>
        <v/>
      </c>
      <c r="M16" s="9"/>
      <c r="N16" s="9"/>
      <c r="O16" s="9"/>
      <c r="P16" s="9"/>
      <c r="Q16" s="9"/>
      <c r="R16" s="9"/>
      <c r="S16" s="9"/>
      <c r="T16" s="9"/>
      <c r="U16" s="9"/>
      <c r="V16" s="10" t="str">
        <f t="shared" si="2"/>
        <v/>
      </c>
      <c r="W16" s="11" t="str">
        <f t="shared" si="3"/>
        <v/>
      </c>
      <c r="X16" s="11" t="str">
        <f t="shared" si="4"/>
        <v/>
      </c>
      <c r="Y16"/>
      <c r="AB16" s="42"/>
      <c r="AC16" s="42"/>
      <c r="AD16" s="42" t="str">
        <f t="shared" si="0"/>
        <v/>
      </c>
    </row>
    <row r="17" spans="1:30" x14ac:dyDescent="0.25">
      <c r="A17" s="12"/>
      <c r="B17" s="13"/>
      <c r="C17" s="9"/>
      <c r="D17" s="9"/>
      <c r="E17" s="9"/>
      <c r="F17" s="9"/>
      <c r="G17" s="9"/>
      <c r="H17" s="9"/>
      <c r="I17" s="9"/>
      <c r="J17" s="9"/>
      <c r="K17" s="9"/>
      <c r="L17" s="10" t="str">
        <f t="shared" si="1"/>
        <v/>
      </c>
      <c r="M17" s="9"/>
      <c r="N17" s="9"/>
      <c r="O17" s="9"/>
      <c r="P17" s="9"/>
      <c r="Q17" s="9"/>
      <c r="R17" s="9"/>
      <c r="S17" s="9"/>
      <c r="T17" s="9"/>
      <c r="U17" s="9"/>
      <c r="V17" s="10" t="str">
        <f t="shared" si="2"/>
        <v/>
      </c>
      <c r="W17" s="11" t="str">
        <f t="shared" si="3"/>
        <v/>
      </c>
      <c r="X17" s="11" t="str">
        <f t="shared" si="4"/>
        <v/>
      </c>
      <c r="Y17"/>
      <c r="AB17" s="42"/>
      <c r="AC17" s="42"/>
      <c r="AD17" s="42" t="str">
        <f t="shared" si="0"/>
        <v/>
      </c>
    </row>
    <row r="18" spans="1:30" x14ac:dyDescent="0.25">
      <c r="A18" s="12"/>
      <c r="B18" s="13"/>
      <c r="C18" s="9"/>
      <c r="D18" s="9"/>
      <c r="E18" s="9"/>
      <c r="F18" s="9"/>
      <c r="G18" s="9"/>
      <c r="H18" s="9"/>
      <c r="I18" s="9"/>
      <c r="J18" s="9"/>
      <c r="K18" s="9"/>
      <c r="L18" s="10" t="str">
        <f t="shared" si="1"/>
        <v/>
      </c>
      <c r="M18" s="9"/>
      <c r="N18" s="9"/>
      <c r="O18" s="9"/>
      <c r="P18" s="9"/>
      <c r="Q18" s="9"/>
      <c r="R18" s="9"/>
      <c r="S18" s="9"/>
      <c r="T18" s="9"/>
      <c r="U18" s="9"/>
      <c r="V18" s="10" t="str">
        <f t="shared" si="2"/>
        <v/>
      </c>
      <c r="W18" s="11" t="str">
        <f t="shared" si="3"/>
        <v/>
      </c>
      <c r="X18" s="11" t="str">
        <f t="shared" si="4"/>
        <v/>
      </c>
      <c r="Y18"/>
      <c r="AB18" s="42"/>
      <c r="AC18" s="42"/>
      <c r="AD18" s="42" t="str">
        <f t="shared" si="0"/>
        <v/>
      </c>
    </row>
    <row r="19" spans="1:30" x14ac:dyDescent="0.25">
      <c r="A19" s="12"/>
      <c r="B19" s="13"/>
      <c r="C19" s="9"/>
      <c r="D19" s="9"/>
      <c r="E19" s="9"/>
      <c r="F19" s="9"/>
      <c r="G19" s="9"/>
      <c r="H19" s="9"/>
      <c r="I19" s="9"/>
      <c r="J19" s="9"/>
      <c r="K19" s="9"/>
      <c r="L19" s="10" t="str">
        <f t="shared" si="1"/>
        <v/>
      </c>
      <c r="M19" s="9"/>
      <c r="N19" s="9"/>
      <c r="O19" s="9"/>
      <c r="P19" s="9"/>
      <c r="Q19" s="9"/>
      <c r="R19" s="9"/>
      <c r="S19" s="9"/>
      <c r="T19" s="9"/>
      <c r="U19" s="9"/>
      <c r="V19" s="10" t="str">
        <f t="shared" si="2"/>
        <v/>
      </c>
      <c r="W19" s="11" t="str">
        <f t="shared" si="3"/>
        <v/>
      </c>
      <c r="X19" s="11" t="str">
        <f t="shared" si="4"/>
        <v/>
      </c>
      <c r="Y19"/>
      <c r="AB19" s="42"/>
      <c r="AC19" s="42"/>
      <c r="AD19" s="42" t="str">
        <f t="shared" si="0"/>
        <v/>
      </c>
    </row>
    <row r="20" spans="1:30" x14ac:dyDescent="0.25">
      <c r="A20" s="12"/>
      <c r="B20" s="13"/>
      <c r="C20" s="9"/>
      <c r="D20" s="9"/>
      <c r="E20" s="9"/>
      <c r="F20" s="9"/>
      <c r="G20" s="9"/>
      <c r="H20" s="9"/>
      <c r="I20" s="9"/>
      <c r="J20" s="9"/>
      <c r="K20" s="9"/>
      <c r="L20" s="10" t="str">
        <f t="shared" si="1"/>
        <v/>
      </c>
      <c r="M20" s="9"/>
      <c r="N20" s="9"/>
      <c r="O20" s="9"/>
      <c r="P20" s="9"/>
      <c r="Q20" s="9"/>
      <c r="R20" s="9"/>
      <c r="S20" s="9"/>
      <c r="T20" s="9"/>
      <c r="U20" s="9"/>
      <c r="V20" s="10" t="str">
        <f t="shared" si="2"/>
        <v/>
      </c>
      <c r="W20" s="11" t="str">
        <f t="shared" si="3"/>
        <v/>
      </c>
      <c r="X20" s="11" t="str">
        <f t="shared" si="4"/>
        <v/>
      </c>
      <c r="Y20"/>
      <c r="AB20" s="42"/>
      <c r="AC20" s="42"/>
      <c r="AD20" s="42" t="str">
        <f t="shared" si="0"/>
        <v/>
      </c>
    </row>
    <row r="21" spans="1:30" x14ac:dyDescent="0.25">
      <c r="A21" s="12"/>
      <c r="B21" s="13"/>
      <c r="C21" s="9"/>
      <c r="D21" s="9"/>
      <c r="E21" s="9"/>
      <c r="F21" s="9"/>
      <c r="G21" s="9"/>
      <c r="H21" s="9"/>
      <c r="I21" s="9"/>
      <c r="J21" s="9"/>
      <c r="K21" s="9"/>
      <c r="L21" s="10" t="str">
        <f t="shared" si="1"/>
        <v/>
      </c>
      <c r="M21" s="9"/>
      <c r="N21" s="9"/>
      <c r="O21" s="9"/>
      <c r="P21" s="9"/>
      <c r="Q21" s="9"/>
      <c r="R21" s="9"/>
      <c r="S21" s="9"/>
      <c r="T21" s="9"/>
      <c r="U21" s="9"/>
      <c r="V21" s="10" t="str">
        <f t="shared" si="2"/>
        <v/>
      </c>
      <c r="W21" s="11" t="str">
        <f t="shared" si="3"/>
        <v/>
      </c>
      <c r="X21" s="11" t="str">
        <f t="shared" si="4"/>
        <v/>
      </c>
      <c r="Y21"/>
      <c r="AB21" s="42"/>
      <c r="AC21" s="42"/>
      <c r="AD21" s="42" t="str">
        <f t="shared" si="0"/>
        <v/>
      </c>
    </row>
    <row r="22" spans="1:30" x14ac:dyDescent="0.25">
      <c r="A22" s="12"/>
      <c r="B22" s="13"/>
      <c r="C22" s="9"/>
      <c r="D22" s="9"/>
      <c r="E22" s="9"/>
      <c r="F22" s="9"/>
      <c r="G22" s="9"/>
      <c r="H22" s="9"/>
      <c r="I22" s="9"/>
      <c r="J22" s="9"/>
      <c r="K22" s="9"/>
      <c r="L22" s="10" t="str">
        <f t="shared" si="1"/>
        <v/>
      </c>
      <c r="M22" s="9"/>
      <c r="N22" s="9"/>
      <c r="O22" s="9"/>
      <c r="P22" s="9"/>
      <c r="Q22" s="9"/>
      <c r="R22" s="9"/>
      <c r="S22" s="9"/>
      <c r="T22" s="9"/>
      <c r="U22" s="9"/>
      <c r="V22" s="10" t="str">
        <f t="shared" si="2"/>
        <v/>
      </c>
      <c r="W22" s="11" t="str">
        <f t="shared" si="3"/>
        <v/>
      </c>
      <c r="X22" s="11" t="str">
        <f t="shared" si="4"/>
        <v/>
      </c>
      <c r="Y22"/>
      <c r="AB22" s="42"/>
      <c r="AC22" s="42"/>
      <c r="AD22" s="42" t="str">
        <f t="shared" si="0"/>
        <v/>
      </c>
    </row>
    <row r="23" spans="1:30" x14ac:dyDescent="0.25">
      <c r="A23" s="12"/>
      <c r="B23" s="13"/>
      <c r="C23" s="9"/>
      <c r="D23" s="9"/>
      <c r="E23" s="9"/>
      <c r="F23" s="9"/>
      <c r="G23" s="9"/>
      <c r="H23" s="9"/>
      <c r="I23" s="9"/>
      <c r="J23" s="9"/>
      <c r="K23" s="9"/>
      <c r="L23" s="10" t="str">
        <f t="shared" si="1"/>
        <v/>
      </c>
      <c r="M23" s="9"/>
      <c r="N23" s="9"/>
      <c r="O23" s="9"/>
      <c r="P23" s="9"/>
      <c r="Q23" s="9"/>
      <c r="R23" s="9"/>
      <c r="S23" s="9"/>
      <c r="T23" s="9"/>
      <c r="U23" s="9"/>
      <c r="V23" s="10" t="str">
        <f t="shared" si="2"/>
        <v/>
      </c>
      <c r="W23" s="11" t="str">
        <f t="shared" si="3"/>
        <v/>
      </c>
      <c r="X23" s="11" t="str">
        <f t="shared" si="4"/>
        <v/>
      </c>
      <c r="Y23"/>
      <c r="AB23" s="42"/>
      <c r="AC23" s="42"/>
      <c r="AD23" s="42" t="str">
        <f t="shared" si="0"/>
        <v/>
      </c>
    </row>
    <row r="24" spans="1:30" x14ac:dyDescent="0.25">
      <c r="A24" s="12"/>
      <c r="B24" s="13"/>
      <c r="C24" s="9"/>
      <c r="D24" s="9"/>
      <c r="E24" s="9"/>
      <c r="F24" s="9"/>
      <c r="G24" s="9"/>
      <c r="H24" s="9"/>
      <c r="I24" s="9"/>
      <c r="J24" s="9"/>
      <c r="K24" s="9"/>
      <c r="L24" s="10" t="str">
        <f t="shared" si="1"/>
        <v/>
      </c>
      <c r="M24" s="9"/>
      <c r="N24" s="9"/>
      <c r="O24" s="9"/>
      <c r="P24" s="9"/>
      <c r="Q24" s="9"/>
      <c r="R24" s="9"/>
      <c r="S24" s="9"/>
      <c r="T24" s="9"/>
      <c r="U24" s="9"/>
      <c r="V24" s="10" t="str">
        <f t="shared" si="2"/>
        <v/>
      </c>
      <c r="W24" s="11" t="str">
        <f t="shared" si="3"/>
        <v/>
      </c>
      <c r="X24" s="11" t="str">
        <f t="shared" si="4"/>
        <v/>
      </c>
      <c r="Y24"/>
      <c r="AB24" s="42"/>
      <c r="AC24" s="42"/>
      <c r="AD24" s="42" t="str">
        <f t="shared" si="0"/>
        <v/>
      </c>
    </row>
    <row r="25" spans="1:30" x14ac:dyDescent="0.25">
      <c r="A25" s="12"/>
      <c r="B25" s="13"/>
      <c r="C25" s="9"/>
      <c r="D25" s="9"/>
      <c r="E25" s="9"/>
      <c r="F25" s="9"/>
      <c r="G25" s="9"/>
      <c r="H25" s="9"/>
      <c r="I25" s="9"/>
      <c r="J25" s="9"/>
      <c r="K25" s="9"/>
      <c r="L25" s="10" t="str">
        <f t="shared" si="1"/>
        <v/>
      </c>
      <c r="M25" s="9"/>
      <c r="N25" s="9"/>
      <c r="O25" s="9"/>
      <c r="P25" s="9"/>
      <c r="Q25" s="9"/>
      <c r="R25" s="9"/>
      <c r="S25" s="9"/>
      <c r="T25" s="9"/>
      <c r="U25" s="9"/>
      <c r="V25" s="10" t="str">
        <f t="shared" si="2"/>
        <v/>
      </c>
      <c r="W25" s="11" t="str">
        <f t="shared" si="3"/>
        <v/>
      </c>
      <c r="X25" s="11" t="str">
        <f t="shared" si="4"/>
        <v/>
      </c>
      <c r="Y25"/>
      <c r="AB25" s="42"/>
      <c r="AC25" s="42"/>
      <c r="AD25" s="42" t="str">
        <f t="shared" si="0"/>
        <v/>
      </c>
    </row>
    <row r="26" spans="1:30" x14ac:dyDescent="0.25">
      <c r="A26" s="12"/>
      <c r="B26" s="13"/>
      <c r="C26" s="9"/>
      <c r="D26" s="9"/>
      <c r="E26" s="9"/>
      <c r="F26" s="9"/>
      <c r="G26" s="9"/>
      <c r="H26" s="9"/>
      <c r="I26" s="9"/>
      <c r="J26" s="9"/>
      <c r="K26" s="9"/>
      <c r="L26" s="10" t="str">
        <f t="shared" si="1"/>
        <v/>
      </c>
      <c r="M26" s="9"/>
      <c r="N26" s="9"/>
      <c r="O26" s="9"/>
      <c r="P26" s="9"/>
      <c r="Q26" s="9"/>
      <c r="R26" s="9"/>
      <c r="S26" s="9"/>
      <c r="T26" s="9"/>
      <c r="U26" s="9"/>
      <c r="V26" s="10" t="str">
        <f t="shared" si="2"/>
        <v/>
      </c>
      <c r="W26" s="11" t="str">
        <f t="shared" si="3"/>
        <v/>
      </c>
      <c r="X26" s="11" t="str">
        <f t="shared" si="4"/>
        <v/>
      </c>
      <c r="Y26"/>
      <c r="AB26" s="42"/>
      <c r="AC26" s="42"/>
      <c r="AD26" s="42" t="str">
        <f t="shared" si="0"/>
        <v/>
      </c>
    </row>
    <row r="27" spans="1:30" x14ac:dyDescent="0.25">
      <c r="A27" s="12"/>
      <c r="B27" s="13"/>
      <c r="C27" s="9"/>
      <c r="D27" s="9"/>
      <c r="E27" s="9"/>
      <c r="F27" s="9"/>
      <c r="G27" s="9"/>
      <c r="H27" s="9"/>
      <c r="I27" s="9"/>
      <c r="J27" s="9"/>
      <c r="K27" s="9"/>
      <c r="L27" s="10" t="str">
        <f t="shared" si="1"/>
        <v/>
      </c>
      <c r="M27" s="9"/>
      <c r="N27" s="9"/>
      <c r="O27" s="9"/>
      <c r="P27" s="9"/>
      <c r="Q27" s="9"/>
      <c r="R27" s="9"/>
      <c r="S27" s="9"/>
      <c r="T27" s="9"/>
      <c r="U27" s="9"/>
      <c r="V27" s="10" t="str">
        <f t="shared" si="2"/>
        <v/>
      </c>
      <c r="W27" s="11" t="str">
        <f t="shared" si="3"/>
        <v/>
      </c>
      <c r="X27" s="11" t="str">
        <f t="shared" si="4"/>
        <v/>
      </c>
      <c r="Y27"/>
      <c r="AB27" s="42"/>
      <c r="AC27" s="42"/>
      <c r="AD27" s="42" t="str">
        <f t="shared" si="0"/>
        <v/>
      </c>
    </row>
    <row r="28" spans="1:30" x14ac:dyDescent="0.25">
      <c r="A28" s="12"/>
      <c r="B28" s="13"/>
      <c r="C28" s="9"/>
      <c r="D28" s="9"/>
      <c r="E28" s="9"/>
      <c r="F28" s="9"/>
      <c r="G28" s="9"/>
      <c r="H28" s="9"/>
      <c r="I28" s="9"/>
      <c r="J28" s="9"/>
      <c r="K28" s="9"/>
      <c r="L28" s="10" t="str">
        <f t="shared" si="1"/>
        <v/>
      </c>
      <c r="M28" s="9"/>
      <c r="N28" s="9"/>
      <c r="O28" s="9"/>
      <c r="P28" s="9"/>
      <c r="Q28" s="9"/>
      <c r="R28" s="9"/>
      <c r="S28" s="9"/>
      <c r="T28" s="9"/>
      <c r="U28" s="9"/>
      <c r="V28" s="10" t="str">
        <f t="shared" si="2"/>
        <v/>
      </c>
      <c r="W28" s="11" t="str">
        <f t="shared" si="3"/>
        <v/>
      </c>
      <c r="X28" s="11" t="str">
        <f t="shared" si="4"/>
        <v/>
      </c>
      <c r="Y28"/>
      <c r="AB28" s="42"/>
      <c r="AC28" s="42"/>
      <c r="AD28" s="42" t="str">
        <f t="shared" si="0"/>
        <v/>
      </c>
    </row>
    <row r="29" spans="1:30" x14ac:dyDescent="0.25">
      <c r="A29" s="12"/>
      <c r="B29" s="13"/>
      <c r="C29" s="9"/>
      <c r="D29" s="9"/>
      <c r="E29" s="9"/>
      <c r="F29" s="9"/>
      <c r="G29" s="9"/>
      <c r="H29" s="9"/>
      <c r="I29" s="9"/>
      <c r="J29" s="9"/>
      <c r="K29" s="9"/>
      <c r="L29" s="10" t="str">
        <f t="shared" si="1"/>
        <v/>
      </c>
      <c r="M29" s="9"/>
      <c r="N29" s="9"/>
      <c r="O29" s="9"/>
      <c r="P29" s="9"/>
      <c r="Q29" s="9"/>
      <c r="R29" s="9"/>
      <c r="S29" s="9"/>
      <c r="T29" s="9"/>
      <c r="U29" s="9"/>
      <c r="V29" s="10" t="str">
        <f t="shared" si="2"/>
        <v/>
      </c>
      <c r="W29" s="11" t="str">
        <f t="shared" si="3"/>
        <v/>
      </c>
      <c r="X29" s="11" t="str">
        <f t="shared" si="4"/>
        <v/>
      </c>
      <c r="Y29"/>
      <c r="AB29" s="42"/>
      <c r="AC29" s="42"/>
      <c r="AD29" s="42" t="str">
        <f t="shared" si="0"/>
        <v/>
      </c>
    </row>
    <row r="30" spans="1:30" x14ac:dyDescent="0.25">
      <c r="A30" s="12"/>
      <c r="B30" s="13"/>
      <c r="C30" s="9"/>
      <c r="D30" s="9"/>
      <c r="E30" s="9"/>
      <c r="F30" s="9"/>
      <c r="G30" s="9"/>
      <c r="H30" s="9"/>
      <c r="I30" s="9"/>
      <c r="J30" s="9"/>
      <c r="K30" s="9"/>
      <c r="L30" s="10" t="str">
        <f t="shared" si="1"/>
        <v/>
      </c>
      <c r="M30" s="9"/>
      <c r="N30" s="9"/>
      <c r="O30" s="9"/>
      <c r="P30" s="9"/>
      <c r="Q30" s="9"/>
      <c r="R30" s="9"/>
      <c r="S30" s="9"/>
      <c r="T30" s="9"/>
      <c r="U30" s="9"/>
      <c r="V30" s="10" t="str">
        <f t="shared" si="2"/>
        <v/>
      </c>
      <c r="W30" s="11" t="str">
        <f t="shared" si="3"/>
        <v/>
      </c>
      <c r="X30" s="11" t="str">
        <f t="shared" si="4"/>
        <v/>
      </c>
      <c r="Y30"/>
      <c r="AB30" s="42"/>
      <c r="AC30" s="42"/>
      <c r="AD30" s="42" t="str">
        <f t="shared" si="0"/>
        <v/>
      </c>
    </row>
    <row r="31" spans="1:30" x14ac:dyDescent="0.25">
      <c r="A31" s="12"/>
      <c r="B31" s="13"/>
      <c r="C31" s="9"/>
      <c r="D31" s="9"/>
      <c r="E31" s="9"/>
      <c r="F31" s="9"/>
      <c r="G31" s="9"/>
      <c r="H31" s="9"/>
      <c r="I31" s="9"/>
      <c r="J31" s="9"/>
      <c r="K31" s="9"/>
      <c r="L31" s="10" t="str">
        <f t="shared" si="1"/>
        <v/>
      </c>
      <c r="M31" s="9"/>
      <c r="N31" s="9"/>
      <c r="O31" s="9"/>
      <c r="P31" s="9"/>
      <c r="Q31" s="9"/>
      <c r="R31" s="9"/>
      <c r="S31" s="9"/>
      <c r="T31" s="9"/>
      <c r="U31" s="9"/>
      <c r="V31" s="10" t="str">
        <f t="shared" si="2"/>
        <v/>
      </c>
      <c r="W31" s="11" t="str">
        <f t="shared" si="3"/>
        <v/>
      </c>
      <c r="X31" s="11" t="str">
        <f t="shared" si="4"/>
        <v/>
      </c>
      <c r="Y31"/>
      <c r="AB31" s="42"/>
      <c r="AC31" s="42"/>
      <c r="AD31" s="42" t="str">
        <f t="shared" si="0"/>
        <v/>
      </c>
    </row>
    <row r="32" spans="1:30" x14ac:dyDescent="0.25">
      <c r="A32" s="12"/>
      <c r="B32" s="13"/>
      <c r="C32" s="9"/>
      <c r="D32" s="9"/>
      <c r="E32" s="9"/>
      <c r="F32" s="9"/>
      <c r="G32" s="9"/>
      <c r="H32" s="9"/>
      <c r="I32" s="9"/>
      <c r="J32" s="9"/>
      <c r="K32" s="9"/>
      <c r="L32" s="10" t="str">
        <f t="shared" si="1"/>
        <v/>
      </c>
      <c r="M32" s="9"/>
      <c r="N32" s="9"/>
      <c r="O32" s="9"/>
      <c r="P32" s="9"/>
      <c r="Q32" s="9"/>
      <c r="R32" s="9"/>
      <c r="S32" s="9"/>
      <c r="T32" s="9"/>
      <c r="U32" s="9"/>
      <c r="V32" s="10" t="str">
        <f t="shared" si="2"/>
        <v/>
      </c>
      <c r="W32" s="11" t="str">
        <f t="shared" si="3"/>
        <v/>
      </c>
      <c r="X32" s="11" t="str">
        <f t="shared" si="4"/>
        <v/>
      </c>
      <c r="Y32"/>
      <c r="AB32" s="42"/>
      <c r="AC32" s="42"/>
      <c r="AD32" s="42" t="str">
        <f t="shared" si="0"/>
        <v/>
      </c>
    </row>
    <row r="33" spans="1:30" x14ac:dyDescent="0.25">
      <c r="A33" s="12"/>
      <c r="B33" s="13"/>
      <c r="C33" s="9"/>
      <c r="D33" s="9"/>
      <c r="E33" s="9"/>
      <c r="F33" s="9"/>
      <c r="G33" s="9"/>
      <c r="H33" s="9"/>
      <c r="I33" s="9"/>
      <c r="J33" s="9"/>
      <c r="K33" s="9"/>
      <c r="L33" s="10" t="str">
        <f t="shared" si="1"/>
        <v/>
      </c>
      <c r="M33" s="9"/>
      <c r="N33" s="9"/>
      <c r="O33" s="9"/>
      <c r="P33" s="9"/>
      <c r="Q33" s="9"/>
      <c r="R33" s="9"/>
      <c r="S33" s="9"/>
      <c r="T33" s="9"/>
      <c r="U33" s="9"/>
      <c r="V33" s="10" t="str">
        <f t="shared" si="2"/>
        <v/>
      </c>
      <c r="W33" s="11" t="str">
        <f t="shared" si="3"/>
        <v/>
      </c>
      <c r="X33" s="11" t="str">
        <f t="shared" si="4"/>
        <v/>
      </c>
      <c r="Y33"/>
      <c r="AB33" s="42"/>
      <c r="AC33" s="42"/>
      <c r="AD33" s="42" t="str">
        <f t="shared" si="0"/>
        <v/>
      </c>
    </row>
    <row r="34" spans="1:30" x14ac:dyDescent="0.25">
      <c r="A34" s="12"/>
      <c r="B34" s="13"/>
      <c r="C34" s="9"/>
      <c r="D34" s="9"/>
      <c r="E34" s="9"/>
      <c r="F34" s="9"/>
      <c r="G34" s="9"/>
      <c r="H34" s="9"/>
      <c r="I34" s="9"/>
      <c r="J34" s="9"/>
      <c r="K34" s="9"/>
      <c r="L34" s="10" t="str">
        <f t="shared" si="1"/>
        <v/>
      </c>
      <c r="M34" s="9"/>
      <c r="N34" s="9"/>
      <c r="O34" s="9"/>
      <c r="P34" s="9"/>
      <c r="Q34" s="9"/>
      <c r="R34" s="9"/>
      <c r="S34" s="9"/>
      <c r="T34" s="9"/>
      <c r="U34" s="9"/>
      <c r="V34" s="10" t="str">
        <f t="shared" si="2"/>
        <v/>
      </c>
      <c r="W34" s="11" t="str">
        <f t="shared" si="3"/>
        <v/>
      </c>
      <c r="X34" s="11" t="str">
        <f t="shared" si="4"/>
        <v/>
      </c>
      <c r="Y34"/>
      <c r="AB34" s="42"/>
      <c r="AC34" s="42"/>
      <c r="AD34" s="42" t="str">
        <f t="shared" si="0"/>
        <v/>
      </c>
    </row>
    <row r="35" spans="1:30" x14ac:dyDescent="0.25">
      <c r="A35" s="12"/>
      <c r="B35" s="13"/>
      <c r="C35" s="9"/>
      <c r="D35" s="9"/>
      <c r="E35" s="9"/>
      <c r="F35" s="9"/>
      <c r="G35" s="9"/>
      <c r="H35" s="9"/>
      <c r="I35" s="9"/>
      <c r="J35" s="9"/>
      <c r="K35" s="9"/>
      <c r="L35" s="10" t="str">
        <f t="shared" si="1"/>
        <v/>
      </c>
      <c r="M35" s="9"/>
      <c r="N35" s="9"/>
      <c r="O35" s="9"/>
      <c r="P35" s="9"/>
      <c r="Q35" s="9"/>
      <c r="R35" s="9"/>
      <c r="S35" s="9"/>
      <c r="T35" s="9"/>
      <c r="U35" s="9"/>
      <c r="V35" s="10" t="str">
        <f t="shared" si="2"/>
        <v/>
      </c>
      <c r="W35" s="11" t="str">
        <f t="shared" si="3"/>
        <v/>
      </c>
      <c r="X35" s="11" t="str">
        <f t="shared" si="4"/>
        <v/>
      </c>
      <c r="Y35"/>
      <c r="AB35" s="42"/>
      <c r="AC35" s="42"/>
      <c r="AD35" s="42" t="str">
        <f t="shared" si="0"/>
        <v/>
      </c>
    </row>
    <row r="36" spans="1:30" x14ac:dyDescent="0.25">
      <c r="A36" s="12"/>
      <c r="B36" s="13"/>
      <c r="C36" s="9"/>
      <c r="D36" s="9"/>
      <c r="E36" s="9"/>
      <c r="F36" s="9"/>
      <c r="G36" s="9"/>
      <c r="H36" s="9"/>
      <c r="I36" s="9"/>
      <c r="J36" s="9"/>
      <c r="K36" s="9"/>
      <c r="L36" s="10" t="str">
        <f t="shared" si="1"/>
        <v/>
      </c>
      <c r="M36" s="9"/>
      <c r="N36" s="9"/>
      <c r="O36" s="9"/>
      <c r="P36" s="9"/>
      <c r="Q36" s="9"/>
      <c r="R36" s="9"/>
      <c r="S36" s="9"/>
      <c r="T36" s="9"/>
      <c r="U36" s="9"/>
      <c r="V36" s="10" t="str">
        <f t="shared" si="2"/>
        <v/>
      </c>
      <c r="W36" s="11" t="str">
        <f t="shared" si="3"/>
        <v/>
      </c>
      <c r="X36" s="11" t="str">
        <f t="shared" si="4"/>
        <v/>
      </c>
      <c r="Y36"/>
      <c r="AB36" s="42"/>
      <c r="AC36" s="42"/>
      <c r="AD36" s="42" t="str">
        <f t="shared" si="0"/>
        <v/>
      </c>
    </row>
    <row r="37" spans="1:30" x14ac:dyDescent="0.25">
      <c r="A37" s="12"/>
      <c r="B37" s="13"/>
      <c r="C37" s="9"/>
      <c r="D37" s="9"/>
      <c r="E37" s="9"/>
      <c r="F37" s="9"/>
      <c r="G37" s="9"/>
      <c r="H37" s="9"/>
      <c r="I37" s="9"/>
      <c r="J37" s="9"/>
      <c r="K37" s="9"/>
      <c r="L37" s="10" t="str">
        <f t="shared" si="1"/>
        <v/>
      </c>
      <c r="M37" s="9"/>
      <c r="N37" s="9"/>
      <c r="O37" s="9"/>
      <c r="P37" s="9"/>
      <c r="Q37" s="9"/>
      <c r="R37" s="9"/>
      <c r="S37" s="9"/>
      <c r="T37" s="9"/>
      <c r="U37" s="9"/>
      <c r="V37" s="10" t="str">
        <f t="shared" si="2"/>
        <v/>
      </c>
      <c r="W37" s="11" t="str">
        <f t="shared" si="3"/>
        <v/>
      </c>
      <c r="X37" s="11" t="str">
        <f t="shared" si="4"/>
        <v/>
      </c>
      <c r="Y37"/>
      <c r="AB37" s="42"/>
      <c r="AC37" s="42"/>
      <c r="AD37" s="42" t="str">
        <f t="shared" si="0"/>
        <v/>
      </c>
    </row>
    <row r="38" spans="1:30" x14ac:dyDescent="0.25">
      <c r="A38" s="12"/>
      <c r="B38" s="13"/>
      <c r="C38" s="9"/>
      <c r="D38" s="9"/>
      <c r="E38" s="9"/>
      <c r="F38" s="9"/>
      <c r="G38" s="9"/>
      <c r="H38" s="9"/>
      <c r="I38" s="9"/>
      <c r="J38" s="9"/>
      <c r="K38" s="9"/>
      <c r="L38" s="10" t="str">
        <f t="shared" si="1"/>
        <v/>
      </c>
      <c r="M38" s="9"/>
      <c r="N38" s="9"/>
      <c r="O38" s="9"/>
      <c r="P38" s="9"/>
      <c r="Q38" s="9"/>
      <c r="R38" s="9"/>
      <c r="S38" s="9"/>
      <c r="T38" s="9"/>
      <c r="U38" s="9"/>
      <c r="V38" s="10" t="str">
        <f t="shared" si="2"/>
        <v/>
      </c>
      <c r="W38" s="11" t="str">
        <f t="shared" si="3"/>
        <v/>
      </c>
      <c r="X38" s="11" t="str">
        <f t="shared" si="4"/>
        <v/>
      </c>
      <c r="Y38"/>
      <c r="AB38" s="42"/>
      <c r="AC38" s="42"/>
      <c r="AD38" s="42" t="str">
        <f t="shared" si="0"/>
        <v/>
      </c>
    </row>
    <row r="39" spans="1:30" x14ac:dyDescent="0.25">
      <c r="A39" s="12"/>
      <c r="B39" s="13"/>
      <c r="C39" s="9"/>
      <c r="D39" s="9"/>
      <c r="E39" s="9"/>
      <c r="F39" s="9"/>
      <c r="G39" s="9"/>
      <c r="H39" s="9"/>
      <c r="I39" s="9"/>
      <c r="J39" s="9"/>
      <c r="K39" s="9"/>
      <c r="L39" s="10" t="str">
        <f t="shared" si="1"/>
        <v/>
      </c>
      <c r="M39" s="9"/>
      <c r="N39" s="9"/>
      <c r="O39" s="9"/>
      <c r="P39" s="9"/>
      <c r="Q39" s="9"/>
      <c r="R39" s="9"/>
      <c r="S39" s="9"/>
      <c r="T39" s="9"/>
      <c r="U39" s="9"/>
      <c r="V39" s="10" t="str">
        <f t="shared" si="2"/>
        <v/>
      </c>
      <c r="W39" s="11" t="str">
        <f t="shared" si="3"/>
        <v/>
      </c>
      <c r="X39" s="11" t="str">
        <f t="shared" si="4"/>
        <v/>
      </c>
      <c r="Y39"/>
      <c r="AB39" s="42"/>
      <c r="AC39" s="42"/>
      <c r="AD39" s="42" t="str">
        <f t="shared" si="0"/>
        <v/>
      </c>
    </row>
    <row r="40" spans="1:30" x14ac:dyDescent="0.25">
      <c r="A40" s="12"/>
      <c r="B40" s="13"/>
      <c r="C40" s="9"/>
      <c r="D40" s="9"/>
      <c r="E40" s="9"/>
      <c r="F40" s="9"/>
      <c r="G40" s="9"/>
      <c r="H40" s="9"/>
      <c r="I40" s="9"/>
      <c r="J40" s="9"/>
      <c r="K40" s="9"/>
      <c r="L40" s="10" t="str">
        <f t="shared" si="1"/>
        <v/>
      </c>
      <c r="M40" s="9"/>
      <c r="N40" s="9"/>
      <c r="O40" s="9"/>
      <c r="P40" s="9"/>
      <c r="Q40" s="9"/>
      <c r="R40" s="9"/>
      <c r="S40" s="9"/>
      <c r="T40" s="9"/>
      <c r="U40" s="9"/>
      <c r="V40" s="10" t="str">
        <f t="shared" si="2"/>
        <v/>
      </c>
      <c r="W40" s="11" t="str">
        <f t="shared" si="3"/>
        <v/>
      </c>
      <c r="X40" s="11" t="str">
        <f t="shared" si="4"/>
        <v/>
      </c>
      <c r="Y40"/>
      <c r="AB40" s="42"/>
      <c r="AC40" s="42"/>
      <c r="AD40" s="42" t="str">
        <f t="shared" si="0"/>
        <v/>
      </c>
    </row>
    <row r="41" spans="1:30" x14ac:dyDescent="0.25">
      <c r="A41" s="12"/>
      <c r="B41" s="13"/>
      <c r="C41" s="9"/>
      <c r="D41" s="9"/>
      <c r="E41" s="9"/>
      <c r="F41" s="9"/>
      <c r="G41" s="9"/>
      <c r="H41" s="9"/>
      <c r="I41" s="9"/>
      <c r="J41" s="9"/>
      <c r="K41" s="9"/>
      <c r="L41" s="10" t="str">
        <f t="shared" si="1"/>
        <v/>
      </c>
      <c r="M41" s="9"/>
      <c r="N41" s="9"/>
      <c r="O41" s="9"/>
      <c r="P41" s="9"/>
      <c r="Q41" s="9"/>
      <c r="R41" s="9"/>
      <c r="S41" s="9"/>
      <c r="T41" s="9"/>
      <c r="U41" s="9"/>
      <c r="V41" s="10" t="str">
        <f t="shared" si="2"/>
        <v/>
      </c>
      <c r="W41" s="11" t="str">
        <f t="shared" si="3"/>
        <v/>
      </c>
      <c r="X41" s="11" t="str">
        <f t="shared" si="4"/>
        <v/>
      </c>
      <c r="Y41"/>
      <c r="AB41" s="42"/>
      <c r="AC41" s="42"/>
      <c r="AD41" s="42" t="str">
        <f t="shared" si="0"/>
        <v/>
      </c>
    </row>
    <row r="42" spans="1:30" x14ac:dyDescent="0.25">
      <c r="A42" s="12"/>
      <c r="B42" s="13"/>
      <c r="C42" s="9"/>
      <c r="D42" s="9"/>
      <c r="E42" s="9"/>
      <c r="F42" s="9"/>
      <c r="G42" s="9"/>
      <c r="H42" s="9"/>
      <c r="I42" s="9"/>
      <c r="J42" s="9"/>
      <c r="K42" s="9"/>
      <c r="L42" s="10" t="str">
        <f t="shared" si="1"/>
        <v/>
      </c>
      <c r="M42" s="9"/>
      <c r="N42" s="9"/>
      <c r="O42" s="9"/>
      <c r="P42" s="9"/>
      <c r="Q42" s="9"/>
      <c r="R42" s="9"/>
      <c r="S42" s="9"/>
      <c r="T42" s="9"/>
      <c r="U42" s="9"/>
      <c r="V42" s="10" t="str">
        <f t="shared" si="2"/>
        <v/>
      </c>
      <c r="W42" s="11" t="str">
        <f t="shared" si="3"/>
        <v/>
      </c>
      <c r="X42" s="11" t="str">
        <f t="shared" si="4"/>
        <v/>
      </c>
      <c r="Y42"/>
      <c r="AB42" s="42"/>
      <c r="AC42" s="42"/>
      <c r="AD42" s="42" t="str">
        <f t="shared" si="0"/>
        <v/>
      </c>
    </row>
    <row r="43" spans="1:30" x14ac:dyDescent="0.25">
      <c r="A43" s="12"/>
      <c r="B43" s="13"/>
      <c r="C43" s="9"/>
      <c r="D43" s="9"/>
      <c r="E43" s="9"/>
      <c r="F43" s="9"/>
      <c r="G43" s="9"/>
      <c r="H43" s="9"/>
      <c r="I43" s="9"/>
      <c r="J43" s="9"/>
      <c r="K43" s="9"/>
      <c r="L43" s="10" t="str">
        <f t="shared" ref="L43:L60" si="5">IF(C43&lt;&gt;"",SUM(C43:K43),"")</f>
        <v/>
      </c>
      <c r="M43" s="9"/>
      <c r="N43" s="9"/>
      <c r="O43" s="9"/>
      <c r="P43" s="9"/>
      <c r="Q43" s="9"/>
      <c r="R43" s="9"/>
      <c r="S43" s="9"/>
      <c r="T43" s="9"/>
      <c r="U43" s="9"/>
      <c r="V43" s="10" t="str">
        <f t="shared" si="2"/>
        <v/>
      </c>
      <c r="W43" s="11" t="str">
        <f t="shared" si="3"/>
        <v/>
      </c>
      <c r="X43" s="11" t="str">
        <f t="shared" si="4"/>
        <v/>
      </c>
      <c r="Y43"/>
      <c r="AB43" s="42"/>
      <c r="AC43" s="42"/>
      <c r="AD43" s="42" t="str">
        <f t="shared" si="0"/>
        <v/>
      </c>
    </row>
    <row r="44" spans="1:30" x14ac:dyDescent="0.25">
      <c r="A44" s="12"/>
      <c r="B44" s="13"/>
      <c r="C44" s="9"/>
      <c r="D44" s="9"/>
      <c r="E44" s="9"/>
      <c r="F44" s="9"/>
      <c r="G44" s="9"/>
      <c r="H44" s="9"/>
      <c r="I44" s="9"/>
      <c r="J44" s="9"/>
      <c r="K44" s="9"/>
      <c r="L44" s="10" t="str">
        <f t="shared" si="5"/>
        <v/>
      </c>
      <c r="M44" s="9"/>
      <c r="N44" s="9"/>
      <c r="O44" s="9"/>
      <c r="P44" s="9"/>
      <c r="Q44" s="9"/>
      <c r="R44" s="9"/>
      <c r="S44" s="9"/>
      <c r="T44" s="9"/>
      <c r="U44" s="9"/>
      <c r="V44" s="10" t="str">
        <f t="shared" si="2"/>
        <v/>
      </c>
      <c r="W44" s="11" t="str">
        <f t="shared" si="3"/>
        <v/>
      </c>
      <c r="X44" s="11" t="str">
        <f t="shared" si="4"/>
        <v/>
      </c>
      <c r="Y44"/>
      <c r="AB44" s="42"/>
      <c r="AC44" s="42"/>
      <c r="AD44" s="42" t="str">
        <f t="shared" si="0"/>
        <v/>
      </c>
    </row>
    <row r="45" spans="1:30" x14ac:dyDescent="0.25">
      <c r="A45" s="12"/>
      <c r="B45" s="13"/>
      <c r="C45" s="9"/>
      <c r="D45" s="9"/>
      <c r="E45" s="9"/>
      <c r="F45" s="9"/>
      <c r="G45" s="9"/>
      <c r="H45" s="9"/>
      <c r="I45" s="9"/>
      <c r="J45" s="9"/>
      <c r="K45" s="9"/>
      <c r="L45" s="10" t="str">
        <f t="shared" si="5"/>
        <v/>
      </c>
      <c r="M45" s="9"/>
      <c r="N45" s="9"/>
      <c r="O45" s="9"/>
      <c r="P45" s="9"/>
      <c r="Q45" s="9"/>
      <c r="R45" s="9"/>
      <c r="S45" s="9"/>
      <c r="T45" s="9"/>
      <c r="U45" s="9"/>
      <c r="V45" s="10" t="str">
        <f t="shared" si="2"/>
        <v/>
      </c>
      <c r="W45" s="11" t="str">
        <f t="shared" si="3"/>
        <v/>
      </c>
      <c r="X45" s="11" t="str">
        <f t="shared" si="4"/>
        <v/>
      </c>
      <c r="Y45"/>
      <c r="AB45" s="42"/>
      <c r="AC45" s="42"/>
      <c r="AD45" s="42" t="str">
        <f t="shared" si="0"/>
        <v/>
      </c>
    </row>
    <row r="46" spans="1:30" x14ac:dyDescent="0.25">
      <c r="A46" s="12"/>
      <c r="B46" s="13"/>
      <c r="C46" s="9"/>
      <c r="D46" s="9"/>
      <c r="E46" s="9"/>
      <c r="F46" s="9"/>
      <c r="G46" s="9"/>
      <c r="H46" s="9"/>
      <c r="I46" s="9"/>
      <c r="J46" s="9"/>
      <c r="K46" s="9"/>
      <c r="L46" s="10" t="str">
        <f t="shared" si="5"/>
        <v/>
      </c>
      <c r="M46" s="9"/>
      <c r="N46" s="9"/>
      <c r="O46" s="9"/>
      <c r="P46" s="9"/>
      <c r="Q46" s="9"/>
      <c r="R46" s="9"/>
      <c r="S46" s="9"/>
      <c r="T46" s="9"/>
      <c r="U46" s="9"/>
      <c r="V46" s="10" t="str">
        <f t="shared" si="2"/>
        <v/>
      </c>
      <c r="W46" s="11" t="str">
        <f t="shared" si="3"/>
        <v/>
      </c>
      <c r="X46" s="11" t="str">
        <f t="shared" si="4"/>
        <v/>
      </c>
      <c r="Y46"/>
      <c r="AB46" s="42"/>
      <c r="AC46" s="42"/>
      <c r="AD46" s="42" t="str">
        <f t="shared" si="0"/>
        <v/>
      </c>
    </row>
    <row r="47" spans="1:30" x14ac:dyDescent="0.25">
      <c r="A47" s="12"/>
      <c r="B47" s="13"/>
      <c r="C47" s="9"/>
      <c r="D47" s="9"/>
      <c r="E47" s="9"/>
      <c r="F47" s="9"/>
      <c r="G47" s="9"/>
      <c r="H47" s="9"/>
      <c r="I47" s="9"/>
      <c r="J47" s="9"/>
      <c r="K47" s="9"/>
      <c r="L47" s="10" t="str">
        <f t="shared" si="5"/>
        <v/>
      </c>
      <c r="M47" s="9"/>
      <c r="N47" s="9"/>
      <c r="O47" s="9"/>
      <c r="P47" s="9"/>
      <c r="Q47" s="9"/>
      <c r="R47" s="9"/>
      <c r="S47" s="9"/>
      <c r="T47" s="9"/>
      <c r="U47" s="9"/>
      <c r="V47" s="10" t="str">
        <f t="shared" si="2"/>
        <v/>
      </c>
      <c r="W47" s="11" t="str">
        <f t="shared" si="3"/>
        <v/>
      </c>
      <c r="X47" s="11" t="str">
        <f t="shared" si="4"/>
        <v/>
      </c>
      <c r="Y47"/>
      <c r="AB47" s="42"/>
      <c r="AC47" s="42"/>
      <c r="AD47" s="42" t="str">
        <f t="shared" si="0"/>
        <v/>
      </c>
    </row>
    <row r="48" spans="1:30" x14ac:dyDescent="0.25">
      <c r="A48" s="12"/>
      <c r="B48" s="13"/>
      <c r="C48" s="9"/>
      <c r="D48" s="9"/>
      <c r="E48" s="9"/>
      <c r="F48" s="9"/>
      <c r="G48" s="9"/>
      <c r="H48" s="9"/>
      <c r="I48" s="9"/>
      <c r="J48" s="9"/>
      <c r="K48" s="9"/>
      <c r="L48" s="10" t="str">
        <f t="shared" si="5"/>
        <v/>
      </c>
      <c r="M48" s="9"/>
      <c r="N48" s="9"/>
      <c r="O48" s="9"/>
      <c r="P48" s="9"/>
      <c r="Q48" s="9"/>
      <c r="R48" s="9"/>
      <c r="S48" s="9"/>
      <c r="T48" s="9"/>
      <c r="U48" s="9"/>
      <c r="V48" s="10" t="str">
        <f t="shared" si="2"/>
        <v/>
      </c>
      <c r="W48" s="11" t="str">
        <f t="shared" si="3"/>
        <v/>
      </c>
      <c r="X48" s="11" t="str">
        <f t="shared" si="4"/>
        <v/>
      </c>
      <c r="Y48"/>
      <c r="AB48" s="42"/>
      <c r="AC48" s="42"/>
      <c r="AD48" s="42" t="str">
        <f t="shared" si="0"/>
        <v/>
      </c>
    </row>
    <row r="49" spans="1:30" x14ac:dyDescent="0.25">
      <c r="A49" s="12"/>
      <c r="B49" s="13"/>
      <c r="C49" s="9"/>
      <c r="D49" s="9"/>
      <c r="E49" s="9"/>
      <c r="F49" s="9"/>
      <c r="G49" s="9"/>
      <c r="H49" s="9"/>
      <c r="I49" s="9"/>
      <c r="J49" s="9"/>
      <c r="K49" s="9"/>
      <c r="L49" s="10" t="str">
        <f t="shared" si="5"/>
        <v/>
      </c>
      <c r="M49" s="9"/>
      <c r="N49" s="9"/>
      <c r="O49" s="9"/>
      <c r="P49" s="9"/>
      <c r="Q49" s="9"/>
      <c r="R49" s="9"/>
      <c r="S49" s="9"/>
      <c r="T49" s="9"/>
      <c r="U49" s="9"/>
      <c r="V49" s="10" t="str">
        <f t="shared" si="2"/>
        <v/>
      </c>
      <c r="W49" s="11" t="str">
        <f t="shared" si="3"/>
        <v/>
      </c>
      <c r="X49" s="11" t="str">
        <f t="shared" si="4"/>
        <v/>
      </c>
      <c r="Y49"/>
      <c r="AB49" s="42"/>
      <c r="AC49" s="42"/>
      <c r="AD49" s="42" t="str">
        <f t="shared" si="0"/>
        <v/>
      </c>
    </row>
    <row r="50" spans="1:30" x14ac:dyDescent="0.25">
      <c r="A50" s="12"/>
      <c r="B50" s="13"/>
      <c r="C50" s="9"/>
      <c r="D50" s="9"/>
      <c r="E50" s="9"/>
      <c r="F50" s="9"/>
      <c r="G50" s="9"/>
      <c r="H50" s="9"/>
      <c r="I50" s="9"/>
      <c r="J50" s="9"/>
      <c r="K50" s="9"/>
      <c r="L50" s="10" t="str">
        <f t="shared" si="5"/>
        <v/>
      </c>
      <c r="M50" s="9"/>
      <c r="N50" s="9"/>
      <c r="O50" s="9"/>
      <c r="P50" s="9"/>
      <c r="Q50" s="9"/>
      <c r="R50" s="9"/>
      <c r="S50" s="9"/>
      <c r="T50" s="9"/>
      <c r="U50" s="9"/>
      <c r="V50" s="10" t="str">
        <f t="shared" si="2"/>
        <v/>
      </c>
      <c r="W50" s="11" t="str">
        <f t="shared" si="3"/>
        <v/>
      </c>
      <c r="X50" s="11" t="str">
        <f t="shared" si="4"/>
        <v/>
      </c>
      <c r="Y50"/>
      <c r="AB50" s="42"/>
      <c r="AC50" s="42"/>
      <c r="AD50" s="42" t="str">
        <f t="shared" si="0"/>
        <v/>
      </c>
    </row>
    <row r="51" spans="1:30" x14ac:dyDescent="0.25">
      <c r="A51" s="12"/>
      <c r="B51" s="13"/>
      <c r="C51" s="9"/>
      <c r="D51" s="9"/>
      <c r="E51" s="9"/>
      <c r="F51" s="9"/>
      <c r="G51" s="9"/>
      <c r="H51" s="9"/>
      <c r="I51" s="9"/>
      <c r="J51" s="9"/>
      <c r="K51" s="9"/>
      <c r="L51" s="10" t="str">
        <f t="shared" si="5"/>
        <v/>
      </c>
      <c r="M51" s="9"/>
      <c r="N51" s="9"/>
      <c r="O51" s="9"/>
      <c r="P51" s="9"/>
      <c r="Q51" s="9"/>
      <c r="R51" s="9"/>
      <c r="S51" s="9"/>
      <c r="T51" s="9"/>
      <c r="U51" s="9"/>
      <c r="V51" s="10" t="str">
        <f t="shared" si="2"/>
        <v/>
      </c>
      <c r="W51" s="11" t="str">
        <f t="shared" si="3"/>
        <v/>
      </c>
      <c r="X51" s="11" t="str">
        <f t="shared" si="4"/>
        <v/>
      </c>
      <c r="Y51"/>
      <c r="AB51" s="42"/>
      <c r="AC51" s="42"/>
      <c r="AD51" s="42" t="str">
        <f t="shared" si="0"/>
        <v/>
      </c>
    </row>
    <row r="52" spans="1:30" x14ac:dyDescent="0.25">
      <c r="A52" s="12"/>
      <c r="B52" s="13"/>
      <c r="C52" s="9"/>
      <c r="D52" s="9"/>
      <c r="E52" s="9"/>
      <c r="F52" s="9"/>
      <c r="G52" s="9"/>
      <c r="H52" s="9"/>
      <c r="I52" s="9"/>
      <c r="J52" s="9"/>
      <c r="K52" s="9"/>
      <c r="L52" s="10" t="str">
        <f t="shared" si="5"/>
        <v/>
      </c>
      <c r="M52" s="9"/>
      <c r="N52" s="9"/>
      <c r="O52" s="9"/>
      <c r="P52" s="9"/>
      <c r="Q52" s="9"/>
      <c r="R52" s="9"/>
      <c r="S52" s="9"/>
      <c r="T52" s="9"/>
      <c r="U52" s="9"/>
      <c r="V52" s="10" t="str">
        <f t="shared" si="2"/>
        <v/>
      </c>
      <c r="W52" s="11" t="str">
        <f t="shared" si="3"/>
        <v/>
      </c>
      <c r="X52" s="11" t="str">
        <f t="shared" si="4"/>
        <v/>
      </c>
      <c r="Y52"/>
      <c r="AB52" s="42"/>
      <c r="AC52" s="42"/>
      <c r="AD52" s="42" t="str">
        <f t="shared" si="0"/>
        <v/>
      </c>
    </row>
    <row r="53" spans="1:30" x14ac:dyDescent="0.25">
      <c r="A53" s="12"/>
      <c r="B53" s="13"/>
      <c r="C53" s="9"/>
      <c r="D53" s="9"/>
      <c r="E53" s="9"/>
      <c r="F53" s="9"/>
      <c r="G53" s="9"/>
      <c r="H53" s="9"/>
      <c r="I53" s="9"/>
      <c r="J53" s="9"/>
      <c r="K53" s="9"/>
      <c r="L53" s="10" t="str">
        <f t="shared" si="5"/>
        <v/>
      </c>
      <c r="M53" s="9"/>
      <c r="N53" s="9"/>
      <c r="O53" s="9"/>
      <c r="P53" s="9"/>
      <c r="Q53" s="9"/>
      <c r="R53" s="9"/>
      <c r="S53" s="9"/>
      <c r="T53" s="9"/>
      <c r="U53" s="9"/>
      <c r="V53" s="10" t="str">
        <f t="shared" si="2"/>
        <v/>
      </c>
      <c r="W53" s="11" t="str">
        <f t="shared" si="3"/>
        <v/>
      </c>
      <c r="X53" s="11" t="str">
        <f t="shared" si="4"/>
        <v/>
      </c>
      <c r="Y53"/>
      <c r="AB53" s="42"/>
      <c r="AC53" s="42"/>
      <c r="AD53" s="42" t="str">
        <f t="shared" si="0"/>
        <v/>
      </c>
    </row>
    <row r="54" spans="1:30" x14ac:dyDescent="0.25">
      <c r="A54" s="12"/>
      <c r="B54" s="13"/>
      <c r="C54" s="9"/>
      <c r="D54" s="9"/>
      <c r="E54" s="9"/>
      <c r="F54" s="9"/>
      <c r="G54" s="9"/>
      <c r="H54" s="9"/>
      <c r="I54" s="9"/>
      <c r="J54" s="9"/>
      <c r="K54" s="9"/>
      <c r="L54" s="10" t="str">
        <f t="shared" si="5"/>
        <v/>
      </c>
      <c r="M54" s="9"/>
      <c r="N54" s="9"/>
      <c r="O54" s="9"/>
      <c r="P54" s="9"/>
      <c r="Q54" s="9"/>
      <c r="R54" s="9"/>
      <c r="S54" s="9"/>
      <c r="T54" s="9"/>
      <c r="U54" s="9"/>
      <c r="V54" s="10" t="str">
        <f t="shared" si="2"/>
        <v/>
      </c>
      <c r="W54" s="11" t="str">
        <f t="shared" si="3"/>
        <v/>
      </c>
      <c r="X54" s="11" t="str">
        <f t="shared" si="4"/>
        <v/>
      </c>
      <c r="Y54"/>
      <c r="AB54" s="42"/>
      <c r="AC54" s="42"/>
      <c r="AD54" s="42" t="str">
        <f t="shared" si="0"/>
        <v/>
      </c>
    </row>
    <row r="55" spans="1:30" x14ac:dyDescent="0.25">
      <c r="A55" s="12"/>
      <c r="B55" s="13"/>
      <c r="C55" s="9"/>
      <c r="D55" s="9"/>
      <c r="E55" s="9"/>
      <c r="F55" s="9"/>
      <c r="G55" s="9"/>
      <c r="H55" s="9"/>
      <c r="I55" s="9"/>
      <c r="J55" s="9"/>
      <c r="K55" s="9"/>
      <c r="L55" s="10" t="str">
        <f t="shared" si="5"/>
        <v/>
      </c>
      <c r="M55" s="9"/>
      <c r="N55" s="9"/>
      <c r="O55" s="9"/>
      <c r="P55" s="9"/>
      <c r="Q55" s="9"/>
      <c r="R55" s="9"/>
      <c r="S55" s="9"/>
      <c r="T55" s="9"/>
      <c r="U55" s="9"/>
      <c r="V55" s="10" t="str">
        <f t="shared" si="2"/>
        <v/>
      </c>
      <c r="W55" s="11" t="str">
        <f t="shared" si="3"/>
        <v/>
      </c>
      <c r="X55" s="11" t="str">
        <f t="shared" si="4"/>
        <v/>
      </c>
      <c r="Y55"/>
      <c r="AB55" s="42"/>
      <c r="AC55" s="42"/>
      <c r="AD55" s="42" t="str">
        <f t="shared" si="0"/>
        <v/>
      </c>
    </row>
    <row r="56" spans="1:30" x14ac:dyDescent="0.25">
      <c r="A56" s="12"/>
      <c r="B56" s="13"/>
      <c r="C56" s="9"/>
      <c r="D56" s="9"/>
      <c r="E56" s="9"/>
      <c r="F56" s="9"/>
      <c r="G56" s="9"/>
      <c r="H56" s="9"/>
      <c r="I56" s="9"/>
      <c r="J56" s="9"/>
      <c r="K56" s="9"/>
      <c r="L56" s="10" t="str">
        <f t="shared" si="5"/>
        <v/>
      </c>
      <c r="M56" s="9"/>
      <c r="N56" s="9"/>
      <c r="O56" s="9"/>
      <c r="P56" s="9"/>
      <c r="Q56" s="9"/>
      <c r="R56" s="9"/>
      <c r="S56" s="9"/>
      <c r="T56" s="9"/>
      <c r="U56" s="9"/>
      <c r="V56" s="10" t="str">
        <f t="shared" si="2"/>
        <v/>
      </c>
      <c r="W56" s="11" t="str">
        <f t="shared" si="3"/>
        <v/>
      </c>
      <c r="X56" s="11" t="str">
        <f t="shared" si="4"/>
        <v/>
      </c>
      <c r="Y56"/>
      <c r="AB56" s="42"/>
      <c r="AC56" s="42"/>
      <c r="AD56" s="42" t="str">
        <f t="shared" si="0"/>
        <v/>
      </c>
    </row>
    <row r="57" spans="1:30" x14ac:dyDescent="0.25">
      <c r="A57" s="12"/>
      <c r="B57" s="13"/>
      <c r="C57" s="9"/>
      <c r="D57" s="9"/>
      <c r="E57" s="9"/>
      <c r="F57" s="9"/>
      <c r="G57" s="9"/>
      <c r="H57" s="9"/>
      <c r="I57" s="9"/>
      <c r="J57" s="9"/>
      <c r="K57" s="9"/>
      <c r="L57" s="10" t="str">
        <f t="shared" si="5"/>
        <v/>
      </c>
      <c r="M57" s="9"/>
      <c r="N57" s="9"/>
      <c r="O57" s="9"/>
      <c r="P57" s="9"/>
      <c r="Q57" s="9"/>
      <c r="R57" s="9"/>
      <c r="S57" s="9"/>
      <c r="T57" s="9"/>
      <c r="U57" s="9"/>
      <c r="V57" s="10" t="str">
        <f t="shared" si="2"/>
        <v/>
      </c>
      <c r="W57" s="11" t="str">
        <f t="shared" si="3"/>
        <v/>
      </c>
      <c r="X57" s="11" t="str">
        <f t="shared" si="4"/>
        <v/>
      </c>
      <c r="Y57"/>
      <c r="AB57" s="42"/>
      <c r="AC57" s="42"/>
      <c r="AD57" s="42" t="str">
        <f t="shared" si="0"/>
        <v/>
      </c>
    </row>
    <row r="58" spans="1:30" x14ac:dyDescent="0.25">
      <c r="A58" s="12"/>
      <c r="B58" s="13"/>
      <c r="C58" s="9"/>
      <c r="D58" s="9"/>
      <c r="E58" s="9"/>
      <c r="F58" s="9"/>
      <c r="G58" s="9"/>
      <c r="H58" s="9"/>
      <c r="I58" s="9"/>
      <c r="J58" s="9"/>
      <c r="K58" s="9"/>
      <c r="L58" s="10" t="str">
        <f t="shared" si="5"/>
        <v/>
      </c>
      <c r="M58" s="9"/>
      <c r="N58" s="9"/>
      <c r="O58" s="9"/>
      <c r="P58" s="9"/>
      <c r="Q58" s="9"/>
      <c r="R58" s="9"/>
      <c r="S58" s="9"/>
      <c r="T58" s="9"/>
      <c r="U58" s="9"/>
      <c r="V58" s="10" t="str">
        <f t="shared" si="2"/>
        <v/>
      </c>
      <c r="W58" s="11" t="str">
        <f t="shared" si="3"/>
        <v/>
      </c>
      <c r="X58" s="11" t="str">
        <f t="shared" si="4"/>
        <v/>
      </c>
      <c r="Y58"/>
      <c r="AB58" s="42"/>
      <c r="AC58" s="42"/>
      <c r="AD58" s="42" t="str">
        <f t="shared" si="0"/>
        <v/>
      </c>
    </row>
    <row r="59" spans="1:30" x14ac:dyDescent="0.25">
      <c r="A59" s="12"/>
      <c r="B59" s="13"/>
      <c r="C59" s="9"/>
      <c r="D59" s="9"/>
      <c r="E59" s="9"/>
      <c r="F59" s="9"/>
      <c r="G59" s="9"/>
      <c r="H59" s="9"/>
      <c r="I59" s="9"/>
      <c r="J59" s="9"/>
      <c r="K59" s="9"/>
      <c r="L59" s="10" t="str">
        <f t="shared" si="5"/>
        <v/>
      </c>
      <c r="M59" s="9"/>
      <c r="N59" s="9"/>
      <c r="O59" s="9"/>
      <c r="P59" s="9"/>
      <c r="Q59" s="9"/>
      <c r="R59" s="9"/>
      <c r="S59" s="9"/>
      <c r="T59" s="9"/>
      <c r="U59" s="9"/>
      <c r="V59" s="10" t="str">
        <f t="shared" si="2"/>
        <v/>
      </c>
      <c r="W59" s="11" t="str">
        <f t="shared" si="3"/>
        <v/>
      </c>
      <c r="X59" s="11" t="str">
        <f t="shared" si="4"/>
        <v/>
      </c>
      <c r="Y59"/>
      <c r="AB59" s="42"/>
      <c r="AC59" s="42"/>
      <c r="AD59" s="42" t="str">
        <f t="shared" si="0"/>
        <v/>
      </c>
    </row>
    <row r="60" spans="1:30" x14ac:dyDescent="0.25">
      <c r="A60" s="45"/>
      <c r="B60" s="14"/>
      <c r="C60" s="15"/>
      <c r="D60" s="15"/>
      <c r="E60" s="15"/>
      <c r="F60" s="15"/>
      <c r="G60" s="15"/>
      <c r="H60" s="15"/>
      <c r="I60" s="15"/>
      <c r="J60" s="15"/>
      <c r="K60" s="15"/>
      <c r="L60" s="16" t="str">
        <f t="shared" si="5"/>
        <v/>
      </c>
      <c r="M60" s="15"/>
      <c r="N60" s="15"/>
      <c r="O60" s="15"/>
      <c r="P60" s="15"/>
      <c r="Q60" s="15"/>
      <c r="R60" s="15"/>
      <c r="S60" s="15"/>
      <c r="T60" s="15"/>
      <c r="U60" s="15"/>
      <c r="V60" s="16" t="str">
        <f t="shared" si="2"/>
        <v/>
      </c>
      <c r="W60" s="17" t="str">
        <f t="shared" si="3"/>
        <v/>
      </c>
      <c r="X60" s="17" t="str">
        <f t="shared" si="4"/>
        <v/>
      </c>
      <c r="Y60"/>
      <c r="AB60" s="42"/>
      <c r="AC60" s="42"/>
      <c r="AD60" s="42" t="str">
        <f t="shared" si="0"/>
        <v/>
      </c>
    </row>
  </sheetData>
  <sheetProtection sheet="1" objects="1" scenarios="1" selectLockedCells="1"/>
  <mergeCells count="47">
    <mergeCell ref="T6:U6"/>
    <mergeCell ref="B7:C7"/>
    <mergeCell ref="D7:E7"/>
    <mergeCell ref="G7:L7"/>
    <mergeCell ref="M7:N7"/>
    <mergeCell ref="P7:Q7"/>
    <mergeCell ref="R7:S7"/>
    <mergeCell ref="T7:U7"/>
    <mergeCell ref="B6:C6"/>
    <mergeCell ref="D6:E6"/>
    <mergeCell ref="G6:L6"/>
    <mergeCell ref="M6:N6"/>
    <mergeCell ref="P6:Q6"/>
    <mergeCell ref="R6:S6"/>
    <mergeCell ref="T4:U4"/>
    <mergeCell ref="B5:C5"/>
    <mergeCell ref="D5:E5"/>
    <mergeCell ref="G5:L5"/>
    <mergeCell ref="M5:N5"/>
    <mergeCell ref="P5:Q5"/>
    <mergeCell ref="R5:S5"/>
    <mergeCell ref="T5:U5"/>
    <mergeCell ref="B4:C4"/>
    <mergeCell ref="D4:E4"/>
    <mergeCell ref="G4:L4"/>
    <mergeCell ref="M4:N4"/>
    <mergeCell ref="P4:Q4"/>
    <mergeCell ref="R4:S4"/>
    <mergeCell ref="R2:S2"/>
    <mergeCell ref="T2:U2"/>
    <mergeCell ref="B3:C3"/>
    <mergeCell ref="D3:E3"/>
    <mergeCell ref="G3:L3"/>
    <mergeCell ref="M3:N3"/>
    <mergeCell ref="P3:Q3"/>
    <mergeCell ref="R3:S3"/>
    <mergeCell ref="T3:U3"/>
    <mergeCell ref="B2:C2"/>
    <mergeCell ref="D2:E2"/>
    <mergeCell ref="G2:L2"/>
    <mergeCell ref="M2:N2"/>
    <mergeCell ref="P2:Q2"/>
    <mergeCell ref="B1:C1"/>
    <mergeCell ref="D1:E1"/>
    <mergeCell ref="G1:L1"/>
    <mergeCell ref="M1:N1"/>
    <mergeCell ref="P1:V1"/>
  </mergeCells>
  <dataValidations count="1">
    <dataValidation type="list" allowBlank="1" showInputMessage="1" showErrorMessage="1" sqref="B11:B60" xr:uid="{00000000-0002-0000-0700-000000000000}">
      <formula1>$AB:$AB</formula1>
    </dataValidation>
  </dataValidations>
  <printOptions horizontalCentered="1"/>
  <pageMargins left="0.7" right="0.7" top="0.75" bottom="0.75" header="0.3" footer="0.3"/>
  <pageSetup scale="76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662E6-6AC8-4EBB-A917-685FE1708428}">
  <sheetPr codeName="Sheet12"/>
  <dimension ref="A1:AD60"/>
  <sheetViews>
    <sheetView workbookViewId="0">
      <pane ySplit="10" topLeftCell="A11" activePane="bottomLeft" state="frozen"/>
      <selection pane="bottomLeft" activeCell="A11" sqref="A11"/>
    </sheetView>
  </sheetViews>
  <sheetFormatPr defaultRowHeight="15" x14ac:dyDescent="0.25"/>
  <cols>
    <col min="1" max="1" width="9.85546875" customWidth="1"/>
    <col min="2" max="2" width="16.42578125" customWidth="1"/>
    <col min="3" max="3" width="3" customWidth="1"/>
    <col min="4" max="11" width="3" style="1" customWidth="1"/>
    <col min="12" max="12" width="5.28515625" style="1" customWidth="1"/>
    <col min="13" max="21" width="3" style="1" customWidth="1"/>
    <col min="22" max="24" width="5.28515625" style="1" customWidth="1"/>
    <col min="25" max="25" width="2" style="1" customWidth="1"/>
    <col min="26" max="26" width="10.5703125" customWidth="1"/>
    <col min="27" max="27" width="10.7109375" customWidth="1"/>
    <col min="28" max="28" width="19.85546875" style="44" customWidth="1"/>
    <col min="29" max="29" width="4.5703125" style="44" customWidth="1"/>
    <col min="30" max="30" width="4.28515625" style="44" customWidth="1"/>
  </cols>
  <sheetData>
    <row r="1" spans="1:30" x14ac:dyDescent="0.25">
      <c r="A1" s="2"/>
      <c r="B1" s="48" t="s">
        <v>39</v>
      </c>
      <c r="C1" s="49"/>
      <c r="D1" s="50" t="e">
        <f>ROUND(AVERAGE(W11:W60),0)</f>
        <v>#DIV/0!</v>
      </c>
      <c r="E1" s="51"/>
      <c r="G1" s="57" t="s">
        <v>2</v>
      </c>
      <c r="H1" s="58"/>
      <c r="I1" s="58"/>
      <c r="J1" s="58"/>
      <c r="K1" s="58"/>
      <c r="L1" s="58"/>
      <c r="M1" s="59">
        <f>MIN(W11:W60)</f>
        <v>0</v>
      </c>
      <c r="N1" s="60"/>
      <c r="P1" s="61" t="s">
        <v>0</v>
      </c>
      <c r="Q1" s="62"/>
      <c r="R1" s="62"/>
      <c r="S1" s="62"/>
      <c r="T1" s="62"/>
      <c r="U1" s="62"/>
      <c r="V1" s="63"/>
      <c r="Z1" s="35"/>
      <c r="AA1" s="35"/>
      <c r="AB1" s="41" t="s">
        <v>37</v>
      </c>
      <c r="AC1" s="41" t="s">
        <v>35</v>
      </c>
      <c r="AD1" s="41" t="s">
        <v>36</v>
      </c>
    </row>
    <row r="2" spans="1:30" x14ac:dyDescent="0.25">
      <c r="A2" s="2"/>
      <c r="B2" s="48" t="s">
        <v>42</v>
      </c>
      <c r="C2" s="49"/>
      <c r="D2" s="50" t="e">
        <f>AVERAGEIF(X:X,"&gt;0")</f>
        <v>#DIV/0!</v>
      </c>
      <c r="E2" s="51"/>
      <c r="G2" s="48"/>
      <c r="H2" s="49"/>
      <c r="I2" s="49"/>
      <c r="J2" s="49"/>
      <c r="K2" s="49"/>
      <c r="L2" s="49"/>
      <c r="M2" s="54"/>
      <c r="N2" s="55"/>
      <c r="P2" s="46" t="s">
        <v>3</v>
      </c>
      <c r="Q2" s="47"/>
      <c r="R2" s="53">
        <v>260</v>
      </c>
      <c r="S2" s="53"/>
      <c r="T2" s="52" t="s">
        <v>4</v>
      </c>
      <c r="U2" s="47"/>
      <c r="V2" s="3">
        <v>160</v>
      </c>
      <c r="Z2" s="36"/>
      <c r="AA2" s="36"/>
      <c r="AB2" s="42"/>
      <c r="AC2" s="42"/>
      <c r="AD2" s="42" t="str">
        <f>IF(AC2&lt;&gt;"",AC2-72,"")</f>
        <v/>
      </c>
    </row>
    <row r="3" spans="1:30" x14ac:dyDescent="0.25">
      <c r="A3" s="2"/>
      <c r="B3" s="48" t="s">
        <v>10</v>
      </c>
      <c r="C3" s="49"/>
      <c r="D3" s="50">
        <f>COUNTIF(C11:V60,-1)</f>
        <v>0</v>
      </c>
      <c r="E3" s="51"/>
      <c r="G3" s="48" t="s">
        <v>11</v>
      </c>
      <c r="H3" s="49"/>
      <c r="I3" s="49"/>
      <c r="J3" s="49"/>
      <c r="K3" s="49"/>
      <c r="L3" s="49"/>
      <c r="M3" s="54" t="e">
        <f>D3/$M$7</f>
        <v>#DIV/0!</v>
      </c>
      <c r="N3" s="55"/>
      <c r="P3" s="46" t="s">
        <v>7</v>
      </c>
      <c r="Q3" s="47"/>
      <c r="R3" s="53">
        <v>210</v>
      </c>
      <c r="S3" s="53"/>
      <c r="T3" s="52" t="s">
        <v>8</v>
      </c>
      <c r="U3" s="47"/>
      <c r="V3" s="3">
        <v>150</v>
      </c>
      <c r="Z3" s="36"/>
      <c r="AA3" s="36"/>
      <c r="AB3" s="42" t="s">
        <v>9</v>
      </c>
      <c r="AC3" s="42">
        <v>72</v>
      </c>
      <c r="AD3" s="42">
        <f t="shared" ref="AD3:AD60" si="0">IF(AC3&lt;&gt;"",AC3-72,"")</f>
        <v>0</v>
      </c>
    </row>
    <row r="4" spans="1:30" x14ac:dyDescent="0.25">
      <c r="B4" s="48" t="s">
        <v>15</v>
      </c>
      <c r="C4" s="49"/>
      <c r="D4" s="50">
        <f>COUNTIF(C11:V60,0)</f>
        <v>0</v>
      </c>
      <c r="E4" s="51"/>
      <c r="G4" s="48" t="s">
        <v>16</v>
      </c>
      <c r="H4" s="49"/>
      <c r="I4" s="49"/>
      <c r="J4" s="49"/>
      <c r="K4" s="49"/>
      <c r="L4" s="49"/>
      <c r="M4" s="54" t="e">
        <f>D4/$M$7</f>
        <v>#DIV/0!</v>
      </c>
      <c r="N4" s="55"/>
      <c r="P4" s="46" t="s">
        <v>12</v>
      </c>
      <c r="Q4" s="47"/>
      <c r="R4" s="53"/>
      <c r="S4" s="53"/>
      <c r="T4" s="52" t="s">
        <v>13</v>
      </c>
      <c r="U4" s="47"/>
      <c r="V4" s="3">
        <v>140</v>
      </c>
      <c r="Z4" s="36"/>
      <c r="AA4" s="36"/>
      <c r="AB4" s="42" t="s">
        <v>24</v>
      </c>
      <c r="AC4" s="42">
        <v>72</v>
      </c>
      <c r="AD4" s="42">
        <f t="shared" si="0"/>
        <v>0</v>
      </c>
    </row>
    <row r="5" spans="1:30" x14ac:dyDescent="0.25">
      <c r="B5" s="48" t="s">
        <v>20</v>
      </c>
      <c r="C5" s="49"/>
      <c r="D5" s="50">
        <f>COUNTIF(C11:V60,1)</f>
        <v>0</v>
      </c>
      <c r="E5" s="51"/>
      <c r="G5" s="48" t="s">
        <v>21</v>
      </c>
      <c r="H5" s="49"/>
      <c r="I5" s="49"/>
      <c r="J5" s="49"/>
      <c r="K5" s="49"/>
      <c r="L5" s="49"/>
      <c r="M5" s="54" t="e">
        <f>D5/$M$7</f>
        <v>#DIV/0!</v>
      </c>
      <c r="N5" s="55"/>
      <c r="P5" s="56" t="s">
        <v>17</v>
      </c>
      <c r="Q5" s="47"/>
      <c r="R5" s="53"/>
      <c r="S5" s="53"/>
      <c r="T5" s="52" t="s">
        <v>18</v>
      </c>
      <c r="U5" s="47"/>
      <c r="V5" s="3">
        <v>130</v>
      </c>
      <c r="Z5" s="36"/>
      <c r="AA5" s="36"/>
      <c r="AB5" s="42" t="s">
        <v>19</v>
      </c>
      <c r="AC5" s="42">
        <v>72</v>
      </c>
      <c r="AD5" s="42">
        <f t="shared" si="0"/>
        <v>0</v>
      </c>
    </row>
    <row r="6" spans="1:30" x14ac:dyDescent="0.25">
      <c r="B6" s="48" t="s">
        <v>25</v>
      </c>
      <c r="C6" s="49"/>
      <c r="D6" s="50">
        <f>COUNTIF(C11:V60,2)</f>
        <v>0</v>
      </c>
      <c r="E6" s="51"/>
      <c r="G6" s="48" t="s">
        <v>26</v>
      </c>
      <c r="H6" s="49"/>
      <c r="I6" s="49"/>
      <c r="J6" s="49"/>
      <c r="K6" s="49"/>
      <c r="L6" s="49"/>
      <c r="M6" s="54" t="e">
        <f>D6/$M$7</f>
        <v>#DIV/0!</v>
      </c>
      <c r="N6" s="55"/>
      <c r="P6" s="56" t="s">
        <v>22</v>
      </c>
      <c r="Q6" s="47"/>
      <c r="R6" s="53">
        <v>180</v>
      </c>
      <c r="S6" s="53"/>
      <c r="T6" s="46" t="s">
        <v>23</v>
      </c>
      <c r="U6" s="47"/>
      <c r="V6" s="3">
        <v>120</v>
      </c>
      <c r="Z6" s="36"/>
      <c r="AA6" s="36"/>
      <c r="AB6" s="42" t="s">
        <v>34</v>
      </c>
      <c r="AC6" s="42">
        <v>70</v>
      </c>
      <c r="AD6" s="42">
        <f t="shared" si="0"/>
        <v>-2</v>
      </c>
    </row>
    <row r="7" spans="1:30" x14ac:dyDescent="0.25">
      <c r="B7" s="48" t="s">
        <v>40</v>
      </c>
      <c r="C7" s="49"/>
      <c r="D7" s="50">
        <f>COUNTA(A10:A60)-1</f>
        <v>0</v>
      </c>
      <c r="E7" s="51"/>
      <c r="G7" s="48" t="s">
        <v>38</v>
      </c>
      <c r="H7" s="49"/>
      <c r="I7" s="49"/>
      <c r="J7" s="49"/>
      <c r="K7" s="49"/>
      <c r="L7" s="49"/>
      <c r="M7" s="50">
        <f>COUNT(C11:K60)+COUNT(M11:U60)</f>
        <v>0</v>
      </c>
      <c r="N7" s="51"/>
      <c r="P7" s="52" t="s">
        <v>27</v>
      </c>
      <c r="Q7" s="47"/>
      <c r="R7" s="53">
        <v>170</v>
      </c>
      <c r="S7" s="53"/>
      <c r="T7" s="46" t="s">
        <v>28</v>
      </c>
      <c r="U7" s="47"/>
      <c r="V7" s="3">
        <v>80</v>
      </c>
      <c r="Z7" s="36"/>
      <c r="AA7" s="36"/>
      <c r="AB7" s="42" t="s">
        <v>14</v>
      </c>
      <c r="AC7" s="42">
        <v>72</v>
      </c>
      <c r="AD7" s="42">
        <f t="shared" si="0"/>
        <v>0</v>
      </c>
    </row>
    <row r="8" spans="1:30" x14ac:dyDescent="0.25">
      <c r="O8" s="37"/>
      <c r="P8" s="38"/>
      <c r="Q8" s="39"/>
      <c r="R8" s="40"/>
      <c r="S8" s="40"/>
      <c r="T8" s="39"/>
      <c r="U8" s="39"/>
      <c r="V8" s="40"/>
      <c r="W8" s="37"/>
      <c r="Z8" s="36"/>
      <c r="AA8" s="36"/>
      <c r="AB8" s="42" t="s">
        <v>43</v>
      </c>
      <c r="AC8" s="42">
        <v>72</v>
      </c>
      <c r="AD8" s="42">
        <f t="shared" si="0"/>
        <v>0</v>
      </c>
    </row>
    <row r="9" spans="1:30" x14ac:dyDescent="0.25">
      <c r="Z9" s="36"/>
      <c r="AA9" s="36"/>
      <c r="AB9" s="42"/>
      <c r="AC9" s="42"/>
      <c r="AD9" s="42" t="str">
        <f t="shared" si="0"/>
        <v/>
      </c>
    </row>
    <row r="10" spans="1:30" s="6" customFormat="1" x14ac:dyDescent="0.25">
      <c r="A10" s="4" t="s">
        <v>29</v>
      </c>
      <c r="B10" s="4" t="s">
        <v>1</v>
      </c>
      <c r="C10" s="4">
        <v>1</v>
      </c>
      <c r="D10" s="4">
        <v>2</v>
      </c>
      <c r="E10" s="4">
        <v>3</v>
      </c>
      <c r="F10" s="4">
        <v>4</v>
      </c>
      <c r="G10" s="4">
        <v>5</v>
      </c>
      <c r="H10" s="4">
        <v>6</v>
      </c>
      <c r="I10" s="4">
        <v>7</v>
      </c>
      <c r="J10" s="4">
        <v>8</v>
      </c>
      <c r="K10" s="4">
        <v>9</v>
      </c>
      <c r="L10" s="5" t="s">
        <v>30</v>
      </c>
      <c r="M10" s="4">
        <v>10</v>
      </c>
      <c r="N10" s="4">
        <v>11</v>
      </c>
      <c r="O10" s="4">
        <v>12</v>
      </c>
      <c r="P10" s="4">
        <v>13</v>
      </c>
      <c r="Q10" s="4">
        <v>14</v>
      </c>
      <c r="R10" s="4">
        <v>15</v>
      </c>
      <c r="S10" s="4">
        <v>16</v>
      </c>
      <c r="T10" s="4">
        <v>17</v>
      </c>
      <c r="U10" s="4">
        <v>18</v>
      </c>
      <c r="V10" s="5" t="s">
        <v>31</v>
      </c>
      <c r="W10" s="4" t="s">
        <v>32</v>
      </c>
      <c r="X10" s="4" t="s">
        <v>33</v>
      </c>
      <c r="AB10" s="43"/>
      <c r="AC10" s="43"/>
      <c r="AD10" s="42" t="str">
        <f t="shared" si="0"/>
        <v/>
      </c>
    </row>
    <row r="11" spans="1:30" x14ac:dyDescent="0.25">
      <c r="A11" s="7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tr">
        <f t="shared" ref="L11:L42" si="1">IF(C11&lt;&gt;"",SUM(C11:K11),"")</f>
        <v/>
      </c>
      <c r="M11" s="9"/>
      <c r="N11" s="9"/>
      <c r="O11" s="9"/>
      <c r="P11" s="9"/>
      <c r="Q11" s="9"/>
      <c r="R11" s="9"/>
      <c r="S11" s="9"/>
      <c r="T11" s="9"/>
      <c r="U11" s="9"/>
      <c r="V11" s="10" t="str">
        <f t="shared" ref="V11:V60" si="2">IF(M11&lt;&gt;"",SUM(M11:U11),"")</f>
        <v/>
      </c>
      <c r="W11" s="11" t="str">
        <f t="shared" ref="W11:W60" si="3">IF(L11&lt;&gt;"",IF(M11="",(L11*2+(LOOKUP(B11,AB:AB,AD:AD)))+72,L11+V11+72+LOOKUP(B11,AB:AB,AD:AD)),"")</f>
        <v/>
      </c>
      <c r="X11" s="11" t="str">
        <f t="shared" ref="X11:X60" si="4">IF(W11&lt;&gt;"",W11-72,"")</f>
        <v/>
      </c>
      <c r="Y11"/>
      <c r="AB11" s="42"/>
      <c r="AC11" s="42"/>
      <c r="AD11" s="42" t="str">
        <f t="shared" si="0"/>
        <v/>
      </c>
    </row>
    <row r="12" spans="1:30" x14ac:dyDescent="0.25">
      <c r="A12" s="12"/>
      <c r="B12" s="13"/>
      <c r="C12" s="9"/>
      <c r="D12" s="9"/>
      <c r="E12" s="9"/>
      <c r="F12" s="9"/>
      <c r="G12" s="9"/>
      <c r="H12" s="9"/>
      <c r="I12" s="9"/>
      <c r="J12" s="9"/>
      <c r="K12" s="9"/>
      <c r="L12" s="10" t="str">
        <f t="shared" si="1"/>
        <v/>
      </c>
      <c r="M12" s="9"/>
      <c r="N12" s="9"/>
      <c r="O12" s="9"/>
      <c r="P12" s="9"/>
      <c r="Q12" s="9"/>
      <c r="R12" s="9"/>
      <c r="S12" s="9"/>
      <c r="T12" s="9"/>
      <c r="U12" s="9"/>
      <c r="V12" s="10" t="str">
        <f t="shared" si="2"/>
        <v/>
      </c>
      <c r="W12" s="11" t="str">
        <f t="shared" si="3"/>
        <v/>
      </c>
      <c r="X12" s="11" t="str">
        <f t="shared" si="4"/>
        <v/>
      </c>
      <c r="Y12"/>
      <c r="AB12" s="42"/>
      <c r="AC12" s="42"/>
      <c r="AD12" s="42" t="str">
        <f t="shared" si="0"/>
        <v/>
      </c>
    </row>
    <row r="13" spans="1:30" x14ac:dyDescent="0.25">
      <c r="A13" s="12"/>
      <c r="B13" s="13"/>
      <c r="C13" s="9"/>
      <c r="D13" s="9"/>
      <c r="E13" s="9"/>
      <c r="F13" s="9"/>
      <c r="G13" s="9"/>
      <c r="H13" s="9"/>
      <c r="I13" s="9"/>
      <c r="J13" s="9"/>
      <c r="K13" s="9"/>
      <c r="L13" s="10" t="str">
        <f t="shared" si="1"/>
        <v/>
      </c>
      <c r="M13" s="9"/>
      <c r="N13" s="9"/>
      <c r="O13" s="9"/>
      <c r="P13" s="9"/>
      <c r="Q13" s="9"/>
      <c r="R13" s="9"/>
      <c r="S13" s="9"/>
      <c r="T13" s="9"/>
      <c r="U13" s="9"/>
      <c r="V13" s="10" t="str">
        <f t="shared" si="2"/>
        <v/>
      </c>
      <c r="W13" s="11" t="str">
        <f t="shared" si="3"/>
        <v/>
      </c>
      <c r="X13" s="11" t="str">
        <f t="shared" si="4"/>
        <v/>
      </c>
      <c r="Y13"/>
      <c r="AB13" s="42"/>
      <c r="AC13" s="42"/>
      <c r="AD13" s="42" t="str">
        <f t="shared" si="0"/>
        <v/>
      </c>
    </row>
    <row r="14" spans="1:30" x14ac:dyDescent="0.25">
      <c r="A14" s="12"/>
      <c r="B14" s="13"/>
      <c r="C14" s="9"/>
      <c r="D14" s="9"/>
      <c r="E14" s="9"/>
      <c r="F14" s="9"/>
      <c r="G14" s="9"/>
      <c r="H14" s="9"/>
      <c r="I14" s="9"/>
      <c r="J14" s="9"/>
      <c r="K14" s="9"/>
      <c r="L14" s="10" t="str">
        <f t="shared" si="1"/>
        <v/>
      </c>
      <c r="M14" s="9"/>
      <c r="N14" s="9"/>
      <c r="O14" s="9"/>
      <c r="P14" s="9"/>
      <c r="Q14" s="9"/>
      <c r="R14" s="9"/>
      <c r="S14" s="9"/>
      <c r="T14" s="9"/>
      <c r="U14" s="9"/>
      <c r="V14" s="10" t="str">
        <f t="shared" si="2"/>
        <v/>
      </c>
      <c r="W14" s="11" t="str">
        <f t="shared" si="3"/>
        <v/>
      </c>
      <c r="X14" s="11" t="str">
        <f t="shared" si="4"/>
        <v/>
      </c>
      <c r="Y14"/>
      <c r="AB14" s="42"/>
      <c r="AC14" s="42"/>
      <c r="AD14" s="42" t="str">
        <f t="shared" si="0"/>
        <v/>
      </c>
    </row>
    <row r="15" spans="1:30" x14ac:dyDescent="0.25">
      <c r="A15" s="12"/>
      <c r="B15" s="13"/>
      <c r="C15" s="9"/>
      <c r="D15" s="9"/>
      <c r="E15" s="9"/>
      <c r="F15" s="9"/>
      <c r="G15" s="9"/>
      <c r="H15" s="9"/>
      <c r="I15" s="9"/>
      <c r="J15" s="9"/>
      <c r="K15" s="9"/>
      <c r="L15" s="10" t="str">
        <f t="shared" si="1"/>
        <v/>
      </c>
      <c r="M15" s="9"/>
      <c r="N15" s="9"/>
      <c r="O15" s="9"/>
      <c r="P15" s="9"/>
      <c r="Q15" s="9"/>
      <c r="R15" s="9"/>
      <c r="S15" s="9"/>
      <c r="T15" s="9"/>
      <c r="U15" s="9"/>
      <c r="V15" s="10" t="str">
        <f t="shared" si="2"/>
        <v/>
      </c>
      <c r="W15" s="11" t="str">
        <f t="shared" si="3"/>
        <v/>
      </c>
      <c r="X15" s="11" t="str">
        <f t="shared" si="4"/>
        <v/>
      </c>
      <c r="Y15"/>
      <c r="AB15" s="42"/>
      <c r="AC15" s="42"/>
      <c r="AD15" s="42" t="str">
        <f t="shared" si="0"/>
        <v/>
      </c>
    </row>
    <row r="16" spans="1:30" x14ac:dyDescent="0.25">
      <c r="A16" s="12"/>
      <c r="B16" s="13"/>
      <c r="C16" s="9"/>
      <c r="D16" s="9"/>
      <c r="E16" s="9"/>
      <c r="F16" s="9"/>
      <c r="G16" s="9"/>
      <c r="H16" s="9"/>
      <c r="I16" s="9"/>
      <c r="J16" s="9"/>
      <c r="K16" s="9"/>
      <c r="L16" s="10" t="str">
        <f t="shared" si="1"/>
        <v/>
      </c>
      <c r="M16" s="9"/>
      <c r="N16" s="9"/>
      <c r="O16" s="9"/>
      <c r="P16" s="9"/>
      <c r="Q16" s="9"/>
      <c r="R16" s="9"/>
      <c r="S16" s="9"/>
      <c r="T16" s="9"/>
      <c r="U16" s="9"/>
      <c r="V16" s="10" t="str">
        <f t="shared" si="2"/>
        <v/>
      </c>
      <c r="W16" s="11" t="str">
        <f t="shared" si="3"/>
        <v/>
      </c>
      <c r="X16" s="11" t="str">
        <f t="shared" si="4"/>
        <v/>
      </c>
      <c r="Y16"/>
      <c r="AB16" s="42"/>
      <c r="AC16" s="42"/>
      <c r="AD16" s="42" t="str">
        <f t="shared" si="0"/>
        <v/>
      </c>
    </row>
    <row r="17" spans="1:30" x14ac:dyDescent="0.25">
      <c r="A17" s="12"/>
      <c r="B17" s="13"/>
      <c r="C17" s="9"/>
      <c r="D17" s="9"/>
      <c r="E17" s="9"/>
      <c r="F17" s="9"/>
      <c r="G17" s="9"/>
      <c r="H17" s="9"/>
      <c r="I17" s="9"/>
      <c r="J17" s="9"/>
      <c r="K17" s="9"/>
      <c r="L17" s="10" t="str">
        <f t="shared" si="1"/>
        <v/>
      </c>
      <c r="M17" s="9"/>
      <c r="N17" s="9"/>
      <c r="O17" s="9"/>
      <c r="P17" s="9"/>
      <c r="Q17" s="9"/>
      <c r="R17" s="9"/>
      <c r="S17" s="9"/>
      <c r="T17" s="9"/>
      <c r="U17" s="9"/>
      <c r="V17" s="10" t="str">
        <f t="shared" si="2"/>
        <v/>
      </c>
      <c r="W17" s="11" t="str">
        <f t="shared" si="3"/>
        <v/>
      </c>
      <c r="X17" s="11" t="str">
        <f t="shared" si="4"/>
        <v/>
      </c>
      <c r="Y17"/>
      <c r="AB17" s="42"/>
      <c r="AC17" s="42"/>
      <c r="AD17" s="42" t="str">
        <f t="shared" si="0"/>
        <v/>
      </c>
    </row>
    <row r="18" spans="1:30" x14ac:dyDescent="0.25">
      <c r="A18" s="12"/>
      <c r="B18" s="13"/>
      <c r="C18" s="9"/>
      <c r="D18" s="9"/>
      <c r="E18" s="9"/>
      <c r="F18" s="9"/>
      <c r="G18" s="9"/>
      <c r="H18" s="9"/>
      <c r="I18" s="9"/>
      <c r="J18" s="9"/>
      <c r="K18" s="9"/>
      <c r="L18" s="10" t="str">
        <f t="shared" si="1"/>
        <v/>
      </c>
      <c r="M18" s="9"/>
      <c r="N18" s="9"/>
      <c r="O18" s="9"/>
      <c r="P18" s="9"/>
      <c r="Q18" s="9"/>
      <c r="R18" s="9"/>
      <c r="S18" s="9"/>
      <c r="T18" s="9"/>
      <c r="U18" s="9"/>
      <c r="V18" s="10" t="str">
        <f t="shared" si="2"/>
        <v/>
      </c>
      <c r="W18" s="11" t="str">
        <f t="shared" si="3"/>
        <v/>
      </c>
      <c r="X18" s="11" t="str">
        <f t="shared" si="4"/>
        <v/>
      </c>
      <c r="Y18"/>
      <c r="AB18" s="42"/>
      <c r="AC18" s="42"/>
      <c r="AD18" s="42" t="str">
        <f t="shared" si="0"/>
        <v/>
      </c>
    </row>
    <row r="19" spans="1:30" x14ac:dyDescent="0.25">
      <c r="A19" s="12"/>
      <c r="B19" s="13"/>
      <c r="C19" s="9"/>
      <c r="D19" s="9"/>
      <c r="E19" s="9"/>
      <c r="F19" s="9"/>
      <c r="G19" s="9"/>
      <c r="H19" s="9"/>
      <c r="I19" s="9"/>
      <c r="J19" s="9"/>
      <c r="K19" s="9"/>
      <c r="L19" s="10" t="str">
        <f t="shared" si="1"/>
        <v/>
      </c>
      <c r="M19" s="9"/>
      <c r="N19" s="9"/>
      <c r="O19" s="9"/>
      <c r="P19" s="9"/>
      <c r="Q19" s="9"/>
      <c r="R19" s="9"/>
      <c r="S19" s="9"/>
      <c r="T19" s="9"/>
      <c r="U19" s="9"/>
      <c r="V19" s="10" t="str">
        <f t="shared" si="2"/>
        <v/>
      </c>
      <c r="W19" s="11" t="str">
        <f t="shared" si="3"/>
        <v/>
      </c>
      <c r="X19" s="11" t="str">
        <f t="shared" si="4"/>
        <v/>
      </c>
      <c r="Y19"/>
      <c r="AB19" s="42"/>
      <c r="AC19" s="42"/>
      <c r="AD19" s="42" t="str">
        <f t="shared" si="0"/>
        <v/>
      </c>
    </row>
    <row r="20" spans="1:30" x14ac:dyDescent="0.25">
      <c r="A20" s="12"/>
      <c r="B20" s="13"/>
      <c r="C20" s="9"/>
      <c r="D20" s="9"/>
      <c r="E20" s="9"/>
      <c r="F20" s="9"/>
      <c r="G20" s="9"/>
      <c r="H20" s="9"/>
      <c r="I20" s="9"/>
      <c r="J20" s="9"/>
      <c r="K20" s="9"/>
      <c r="L20" s="10" t="str">
        <f t="shared" si="1"/>
        <v/>
      </c>
      <c r="M20" s="9"/>
      <c r="N20" s="9"/>
      <c r="O20" s="9"/>
      <c r="P20" s="9"/>
      <c r="Q20" s="9"/>
      <c r="R20" s="9"/>
      <c r="S20" s="9"/>
      <c r="T20" s="9"/>
      <c r="U20" s="9"/>
      <c r="V20" s="10" t="str">
        <f t="shared" si="2"/>
        <v/>
      </c>
      <c r="W20" s="11" t="str">
        <f t="shared" si="3"/>
        <v/>
      </c>
      <c r="X20" s="11" t="str">
        <f t="shared" si="4"/>
        <v/>
      </c>
      <c r="Y20"/>
      <c r="AB20" s="42"/>
      <c r="AC20" s="42"/>
      <c r="AD20" s="42" t="str">
        <f t="shared" si="0"/>
        <v/>
      </c>
    </row>
    <row r="21" spans="1:30" x14ac:dyDescent="0.25">
      <c r="A21" s="12"/>
      <c r="B21" s="13"/>
      <c r="C21" s="9"/>
      <c r="D21" s="9"/>
      <c r="E21" s="9"/>
      <c r="F21" s="9"/>
      <c r="G21" s="9"/>
      <c r="H21" s="9"/>
      <c r="I21" s="9"/>
      <c r="J21" s="9"/>
      <c r="K21" s="9"/>
      <c r="L21" s="10" t="str">
        <f t="shared" si="1"/>
        <v/>
      </c>
      <c r="M21" s="9"/>
      <c r="N21" s="9"/>
      <c r="O21" s="9"/>
      <c r="P21" s="9"/>
      <c r="Q21" s="9"/>
      <c r="R21" s="9"/>
      <c r="S21" s="9"/>
      <c r="T21" s="9"/>
      <c r="U21" s="9"/>
      <c r="V21" s="10" t="str">
        <f t="shared" si="2"/>
        <v/>
      </c>
      <c r="W21" s="11" t="str">
        <f t="shared" si="3"/>
        <v/>
      </c>
      <c r="X21" s="11" t="str">
        <f t="shared" si="4"/>
        <v/>
      </c>
      <c r="Y21"/>
      <c r="AB21" s="42"/>
      <c r="AC21" s="42"/>
      <c r="AD21" s="42" t="str">
        <f t="shared" si="0"/>
        <v/>
      </c>
    </row>
    <row r="22" spans="1:30" x14ac:dyDescent="0.25">
      <c r="A22" s="12"/>
      <c r="B22" s="13"/>
      <c r="C22" s="9"/>
      <c r="D22" s="9"/>
      <c r="E22" s="9"/>
      <c r="F22" s="9"/>
      <c r="G22" s="9"/>
      <c r="H22" s="9"/>
      <c r="I22" s="9"/>
      <c r="J22" s="9"/>
      <c r="K22" s="9"/>
      <c r="L22" s="10" t="str">
        <f t="shared" si="1"/>
        <v/>
      </c>
      <c r="M22" s="9"/>
      <c r="N22" s="9"/>
      <c r="O22" s="9"/>
      <c r="P22" s="9"/>
      <c r="Q22" s="9"/>
      <c r="R22" s="9"/>
      <c r="S22" s="9"/>
      <c r="T22" s="9"/>
      <c r="U22" s="9"/>
      <c r="V22" s="10" t="str">
        <f t="shared" si="2"/>
        <v/>
      </c>
      <c r="W22" s="11" t="str">
        <f t="shared" si="3"/>
        <v/>
      </c>
      <c r="X22" s="11" t="str">
        <f t="shared" si="4"/>
        <v/>
      </c>
      <c r="Y22"/>
      <c r="AB22" s="42"/>
      <c r="AC22" s="42"/>
      <c r="AD22" s="42" t="str">
        <f t="shared" si="0"/>
        <v/>
      </c>
    </row>
    <row r="23" spans="1:30" x14ac:dyDescent="0.25">
      <c r="A23" s="12"/>
      <c r="B23" s="13"/>
      <c r="C23" s="9"/>
      <c r="D23" s="9"/>
      <c r="E23" s="9"/>
      <c r="F23" s="9"/>
      <c r="G23" s="9"/>
      <c r="H23" s="9"/>
      <c r="I23" s="9"/>
      <c r="J23" s="9"/>
      <c r="K23" s="9"/>
      <c r="L23" s="10" t="str">
        <f t="shared" si="1"/>
        <v/>
      </c>
      <c r="M23" s="9"/>
      <c r="N23" s="9"/>
      <c r="O23" s="9"/>
      <c r="P23" s="9"/>
      <c r="Q23" s="9"/>
      <c r="R23" s="9"/>
      <c r="S23" s="9"/>
      <c r="T23" s="9"/>
      <c r="U23" s="9"/>
      <c r="V23" s="10" t="str">
        <f t="shared" si="2"/>
        <v/>
      </c>
      <c r="W23" s="11" t="str">
        <f t="shared" si="3"/>
        <v/>
      </c>
      <c r="X23" s="11" t="str">
        <f t="shared" si="4"/>
        <v/>
      </c>
      <c r="Y23"/>
      <c r="AB23" s="42"/>
      <c r="AC23" s="42"/>
      <c r="AD23" s="42" t="str">
        <f t="shared" si="0"/>
        <v/>
      </c>
    </row>
    <row r="24" spans="1:30" x14ac:dyDescent="0.25">
      <c r="A24" s="12"/>
      <c r="B24" s="13"/>
      <c r="C24" s="9"/>
      <c r="D24" s="9"/>
      <c r="E24" s="9"/>
      <c r="F24" s="9"/>
      <c r="G24" s="9"/>
      <c r="H24" s="9"/>
      <c r="I24" s="9"/>
      <c r="J24" s="9"/>
      <c r="K24" s="9"/>
      <c r="L24" s="10" t="str">
        <f t="shared" si="1"/>
        <v/>
      </c>
      <c r="M24" s="9"/>
      <c r="N24" s="9"/>
      <c r="O24" s="9"/>
      <c r="P24" s="9"/>
      <c r="Q24" s="9"/>
      <c r="R24" s="9"/>
      <c r="S24" s="9"/>
      <c r="T24" s="9"/>
      <c r="U24" s="9"/>
      <c r="V24" s="10" t="str">
        <f t="shared" si="2"/>
        <v/>
      </c>
      <c r="W24" s="11" t="str">
        <f t="shared" si="3"/>
        <v/>
      </c>
      <c r="X24" s="11" t="str">
        <f t="shared" si="4"/>
        <v/>
      </c>
      <c r="Y24"/>
      <c r="AB24" s="42"/>
      <c r="AC24" s="42"/>
      <c r="AD24" s="42" t="str">
        <f t="shared" si="0"/>
        <v/>
      </c>
    </row>
    <row r="25" spans="1:30" x14ac:dyDescent="0.25">
      <c r="A25" s="12"/>
      <c r="B25" s="13"/>
      <c r="C25" s="9"/>
      <c r="D25" s="9"/>
      <c r="E25" s="9"/>
      <c r="F25" s="9"/>
      <c r="G25" s="9"/>
      <c r="H25" s="9"/>
      <c r="I25" s="9"/>
      <c r="J25" s="9"/>
      <c r="K25" s="9"/>
      <c r="L25" s="10" t="str">
        <f t="shared" si="1"/>
        <v/>
      </c>
      <c r="M25" s="9"/>
      <c r="N25" s="9"/>
      <c r="O25" s="9"/>
      <c r="P25" s="9"/>
      <c r="Q25" s="9"/>
      <c r="R25" s="9"/>
      <c r="S25" s="9"/>
      <c r="T25" s="9"/>
      <c r="U25" s="9"/>
      <c r="V25" s="10" t="str">
        <f t="shared" si="2"/>
        <v/>
      </c>
      <c r="W25" s="11" t="str">
        <f t="shared" si="3"/>
        <v/>
      </c>
      <c r="X25" s="11" t="str">
        <f t="shared" si="4"/>
        <v/>
      </c>
      <c r="Y25"/>
      <c r="AB25" s="42"/>
      <c r="AC25" s="42"/>
      <c r="AD25" s="42" t="str">
        <f t="shared" si="0"/>
        <v/>
      </c>
    </row>
    <row r="26" spans="1:30" x14ac:dyDescent="0.25">
      <c r="A26" s="12"/>
      <c r="B26" s="13"/>
      <c r="C26" s="9"/>
      <c r="D26" s="9"/>
      <c r="E26" s="9"/>
      <c r="F26" s="9"/>
      <c r="G26" s="9"/>
      <c r="H26" s="9"/>
      <c r="I26" s="9"/>
      <c r="J26" s="9"/>
      <c r="K26" s="9"/>
      <c r="L26" s="10" t="str">
        <f t="shared" si="1"/>
        <v/>
      </c>
      <c r="M26" s="9"/>
      <c r="N26" s="9"/>
      <c r="O26" s="9"/>
      <c r="P26" s="9"/>
      <c r="Q26" s="9"/>
      <c r="R26" s="9"/>
      <c r="S26" s="9"/>
      <c r="T26" s="9"/>
      <c r="U26" s="9"/>
      <c r="V26" s="10" t="str">
        <f t="shared" si="2"/>
        <v/>
      </c>
      <c r="W26" s="11" t="str">
        <f t="shared" si="3"/>
        <v/>
      </c>
      <c r="X26" s="11" t="str">
        <f t="shared" si="4"/>
        <v/>
      </c>
      <c r="Y26"/>
      <c r="AB26" s="42"/>
      <c r="AC26" s="42"/>
      <c r="AD26" s="42" t="str">
        <f t="shared" si="0"/>
        <v/>
      </c>
    </row>
    <row r="27" spans="1:30" x14ac:dyDescent="0.25">
      <c r="A27" s="12"/>
      <c r="B27" s="13"/>
      <c r="C27" s="9"/>
      <c r="D27" s="9"/>
      <c r="E27" s="9"/>
      <c r="F27" s="9"/>
      <c r="G27" s="9"/>
      <c r="H27" s="9"/>
      <c r="I27" s="9"/>
      <c r="J27" s="9"/>
      <c r="K27" s="9"/>
      <c r="L27" s="10" t="str">
        <f t="shared" si="1"/>
        <v/>
      </c>
      <c r="M27" s="9"/>
      <c r="N27" s="9"/>
      <c r="O27" s="9"/>
      <c r="P27" s="9"/>
      <c r="Q27" s="9"/>
      <c r="R27" s="9"/>
      <c r="S27" s="9"/>
      <c r="T27" s="9"/>
      <c r="U27" s="9"/>
      <c r="V27" s="10" t="str">
        <f t="shared" si="2"/>
        <v/>
      </c>
      <c r="W27" s="11" t="str">
        <f t="shared" si="3"/>
        <v/>
      </c>
      <c r="X27" s="11" t="str">
        <f t="shared" si="4"/>
        <v/>
      </c>
      <c r="Y27"/>
      <c r="AB27" s="42"/>
      <c r="AC27" s="42"/>
      <c r="AD27" s="42" t="str">
        <f t="shared" si="0"/>
        <v/>
      </c>
    </row>
    <row r="28" spans="1:30" x14ac:dyDescent="0.25">
      <c r="A28" s="12"/>
      <c r="B28" s="13"/>
      <c r="C28" s="9"/>
      <c r="D28" s="9"/>
      <c r="E28" s="9"/>
      <c r="F28" s="9"/>
      <c r="G28" s="9"/>
      <c r="H28" s="9"/>
      <c r="I28" s="9"/>
      <c r="J28" s="9"/>
      <c r="K28" s="9"/>
      <c r="L28" s="10" t="str">
        <f t="shared" si="1"/>
        <v/>
      </c>
      <c r="M28" s="9"/>
      <c r="N28" s="9"/>
      <c r="O28" s="9"/>
      <c r="P28" s="9"/>
      <c r="Q28" s="9"/>
      <c r="R28" s="9"/>
      <c r="S28" s="9"/>
      <c r="T28" s="9"/>
      <c r="U28" s="9"/>
      <c r="V28" s="10" t="str">
        <f t="shared" si="2"/>
        <v/>
      </c>
      <c r="W28" s="11" t="str">
        <f t="shared" si="3"/>
        <v/>
      </c>
      <c r="X28" s="11" t="str">
        <f t="shared" si="4"/>
        <v/>
      </c>
      <c r="Y28"/>
      <c r="AB28" s="42"/>
      <c r="AC28" s="42"/>
      <c r="AD28" s="42" t="str">
        <f t="shared" si="0"/>
        <v/>
      </c>
    </row>
    <row r="29" spans="1:30" x14ac:dyDescent="0.25">
      <c r="A29" s="12"/>
      <c r="B29" s="13"/>
      <c r="C29" s="9"/>
      <c r="D29" s="9"/>
      <c r="E29" s="9"/>
      <c r="F29" s="9"/>
      <c r="G29" s="9"/>
      <c r="H29" s="9"/>
      <c r="I29" s="9"/>
      <c r="J29" s="9"/>
      <c r="K29" s="9"/>
      <c r="L29" s="10" t="str">
        <f t="shared" si="1"/>
        <v/>
      </c>
      <c r="M29" s="9"/>
      <c r="N29" s="9"/>
      <c r="O29" s="9"/>
      <c r="P29" s="9"/>
      <c r="Q29" s="9"/>
      <c r="R29" s="9"/>
      <c r="S29" s="9"/>
      <c r="T29" s="9"/>
      <c r="U29" s="9"/>
      <c r="V29" s="10" t="str">
        <f t="shared" si="2"/>
        <v/>
      </c>
      <c r="W29" s="11" t="str">
        <f t="shared" si="3"/>
        <v/>
      </c>
      <c r="X29" s="11" t="str">
        <f t="shared" si="4"/>
        <v/>
      </c>
      <c r="Y29"/>
      <c r="AB29" s="42"/>
      <c r="AC29" s="42"/>
      <c r="AD29" s="42" t="str">
        <f t="shared" si="0"/>
        <v/>
      </c>
    </row>
    <row r="30" spans="1:30" x14ac:dyDescent="0.25">
      <c r="A30" s="12"/>
      <c r="B30" s="13"/>
      <c r="C30" s="9"/>
      <c r="D30" s="9"/>
      <c r="E30" s="9"/>
      <c r="F30" s="9"/>
      <c r="G30" s="9"/>
      <c r="H30" s="9"/>
      <c r="I30" s="9"/>
      <c r="J30" s="9"/>
      <c r="K30" s="9"/>
      <c r="L30" s="10" t="str">
        <f t="shared" si="1"/>
        <v/>
      </c>
      <c r="M30" s="9"/>
      <c r="N30" s="9"/>
      <c r="O30" s="9"/>
      <c r="P30" s="9"/>
      <c r="Q30" s="9"/>
      <c r="R30" s="9"/>
      <c r="S30" s="9"/>
      <c r="T30" s="9"/>
      <c r="U30" s="9"/>
      <c r="V30" s="10" t="str">
        <f t="shared" si="2"/>
        <v/>
      </c>
      <c r="W30" s="11" t="str">
        <f t="shared" si="3"/>
        <v/>
      </c>
      <c r="X30" s="11" t="str">
        <f t="shared" si="4"/>
        <v/>
      </c>
      <c r="Y30"/>
      <c r="AB30" s="42"/>
      <c r="AC30" s="42"/>
      <c r="AD30" s="42" t="str">
        <f t="shared" si="0"/>
        <v/>
      </c>
    </row>
    <row r="31" spans="1:30" x14ac:dyDescent="0.25">
      <c r="A31" s="12"/>
      <c r="B31" s="13"/>
      <c r="C31" s="9"/>
      <c r="D31" s="9"/>
      <c r="E31" s="9"/>
      <c r="F31" s="9"/>
      <c r="G31" s="9"/>
      <c r="H31" s="9"/>
      <c r="I31" s="9"/>
      <c r="J31" s="9"/>
      <c r="K31" s="9"/>
      <c r="L31" s="10" t="str">
        <f t="shared" si="1"/>
        <v/>
      </c>
      <c r="M31" s="9"/>
      <c r="N31" s="9"/>
      <c r="O31" s="9"/>
      <c r="P31" s="9"/>
      <c r="Q31" s="9"/>
      <c r="R31" s="9"/>
      <c r="S31" s="9"/>
      <c r="T31" s="9"/>
      <c r="U31" s="9"/>
      <c r="V31" s="10" t="str">
        <f t="shared" si="2"/>
        <v/>
      </c>
      <c r="W31" s="11" t="str">
        <f t="shared" si="3"/>
        <v/>
      </c>
      <c r="X31" s="11" t="str">
        <f t="shared" si="4"/>
        <v/>
      </c>
      <c r="Y31"/>
      <c r="AB31" s="42"/>
      <c r="AC31" s="42"/>
      <c r="AD31" s="42" t="str">
        <f t="shared" si="0"/>
        <v/>
      </c>
    </row>
    <row r="32" spans="1:30" x14ac:dyDescent="0.25">
      <c r="A32" s="12"/>
      <c r="B32" s="13"/>
      <c r="C32" s="9"/>
      <c r="D32" s="9"/>
      <c r="E32" s="9"/>
      <c r="F32" s="9"/>
      <c r="G32" s="9"/>
      <c r="H32" s="9"/>
      <c r="I32" s="9"/>
      <c r="J32" s="9"/>
      <c r="K32" s="9"/>
      <c r="L32" s="10" t="str">
        <f t="shared" si="1"/>
        <v/>
      </c>
      <c r="M32" s="9"/>
      <c r="N32" s="9"/>
      <c r="O32" s="9"/>
      <c r="P32" s="9"/>
      <c r="Q32" s="9"/>
      <c r="R32" s="9"/>
      <c r="S32" s="9"/>
      <c r="T32" s="9"/>
      <c r="U32" s="9"/>
      <c r="V32" s="10" t="str">
        <f t="shared" si="2"/>
        <v/>
      </c>
      <c r="W32" s="11" t="str">
        <f t="shared" si="3"/>
        <v/>
      </c>
      <c r="X32" s="11" t="str">
        <f t="shared" si="4"/>
        <v/>
      </c>
      <c r="Y32"/>
      <c r="AB32" s="42"/>
      <c r="AC32" s="42"/>
      <c r="AD32" s="42" t="str">
        <f t="shared" si="0"/>
        <v/>
      </c>
    </row>
    <row r="33" spans="1:30" x14ac:dyDescent="0.25">
      <c r="A33" s="12"/>
      <c r="B33" s="13"/>
      <c r="C33" s="9"/>
      <c r="D33" s="9"/>
      <c r="E33" s="9"/>
      <c r="F33" s="9"/>
      <c r="G33" s="9"/>
      <c r="H33" s="9"/>
      <c r="I33" s="9"/>
      <c r="J33" s="9"/>
      <c r="K33" s="9"/>
      <c r="L33" s="10" t="str">
        <f t="shared" si="1"/>
        <v/>
      </c>
      <c r="M33" s="9"/>
      <c r="N33" s="9"/>
      <c r="O33" s="9"/>
      <c r="P33" s="9"/>
      <c r="Q33" s="9"/>
      <c r="R33" s="9"/>
      <c r="S33" s="9"/>
      <c r="T33" s="9"/>
      <c r="U33" s="9"/>
      <c r="V33" s="10" t="str">
        <f t="shared" si="2"/>
        <v/>
      </c>
      <c r="W33" s="11" t="str">
        <f t="shared" si="3"/>
        <v/>
      </c>
      <c r="X33" s="11" t="str">
        <f t="shared" si="4"/>
        <v/>
      </c>
      <c r="Y33"/>
      <c r="AB33" s="42"/>
      <c r="AC33" s="42"/>
      <c r="AD33" s="42" t="str">
        <f t="shared" si="0"/>
        <v/>
      </c>
    </row>
    <row r="34" spans="1:30" x14ac:dyDescent="0.25">
      <c r="A34" s="12"/>
      <c r="B34" s="13"/>
      <c r="C34" s="9"/>
      <c r="D34" s="9"/>
      <c r="E34" s="9"/>
      <c r="F34" s="9"/>
      <c r="G34" s="9"/>
      <c r="H34" s="9"/>
      <c r="I34" s="9"/>
      <c r="J34" s="9"/>
      <c r="K34" s="9"/>
      <c r="L34" s="10" t="str">
        <f t="shared" si="1"/>
        <v/>
      </c>
      <c r="M34" s="9"/>
      <c r="N34" s="9"/>
      <c r="O34" s="9"/>
      <c r="P34" s="9"/>
      <c r="Q34" s="9"/>
      <c r="R34" s="9"/>
      <c r="S34" s="9"/>
      <c r="T34" s="9"/>
      <c r="U34" s="9"/>
      <c r="V34" s="10" t="str">
        <f t="shared" si="2"/>
        <v/>
      </c>
      <c r="W34" s="11" t="str">
        <f t="shared" si="3"/>
        <v/>
      </c>
      <c r="X34" s="11" t="str">
        <f t="shared" si="4"/>
        <v/>
      </c>
      <c r="Y34"/>
      <c r="AB34" s="42"/>
      <c r="AC34" s="42"/>
      <c r="AD34" s="42" t="str">
        <f t="shared" si="0"/>
        <v/>
      </c>
    </row>
    <row r="35" spans="1:30" x14ac:dyDescent="0.25">
      <c r="A35" s="12"/>
      <c r="B35" s="13"/>
      <c r="C35" s="9"/>
      <c r="D35" s="9"/>
      <c r="E35" s="9"/>
      <c r="F35" s="9"/>
      <c r="G35" s="9"/>
      <c r="H35" s="9"/>
      <c r="I35" s="9"/>
      <c r="J35" s="9"/>
      <c r="K35" s="9"/>
      <c r="L35" s="10" t="str">
        <f t="shared" si="1"/>
        <v/>
      </c>
      <c r="M35" s="9"/>
      <c r="N35" s="9"/>
      <c r="O35" s="9"/>
      <c r="P35" s="9"/>
      <c r="Q35" s="9"/>
      <c r="R35" s="9"/>
      <c r="S35" s="9"/>
      <c r="T35" s="9"/>
      <c r="U35" s="9"/>
      <c r="V35" s="10" t="str">
        <f t="shared" si="2"/>
        <v/>
      </c>
      <c r="W35" s="11" t="str">
        <f t="shared" si="3"/>
        <v/>
      </c>
      <c r="X35" s="11" t="str">
        <f t="shared" si="4"/>
        <v/>
      </c>
      <c r="Y35"/>
      <c r="AB35" s="42"/>
      <c r="AC35" s="42"/>
      <c r="AD35" s="42" t="str">
        <f t="shared" si="0"/>
        <v/>
      </c>
    </row>
    <row r="36" spans="1:30" x14ac:dyDescent="0.25">
      <c r="A36" s="12"/>
      <c r="B36" s="13"/>
      <c r="C36" s="9"/>
      <c r="D36" s="9"/>
      <c r="E36" s="9"/>
      <c r="F36" s="9"/>
      <c r="G36" s="9"/>
      <c r="H36" s="9"/>
      <c r="I36" s="9"/>
      <c r="J36" s="9"/>
      <c r="K36" s="9"/>
      <c r="L36" s="10" t="str">
        <f t="shared" si="1"/>
        <v/>
      </c>
      <c r="M36" s="9"/>
      <c r="N36" s="9"/>
      <c r="O36" s="9"/>
      <c r="P36" s="9"/>
      <c r="Q36" s="9"/>
      <c r="R36" s="9"/>
      <c r="S36" s="9"/>
      <c r="T36" s="9"/>
      <c r="U36" s="9"/>
      <c r="V36" s="10" t="str">
        <f t="shared" si="2"/>
        <v/>
      </c>
      <c r="W36" s="11" t="str">
        <f t="shared" si="3"/>
        <v/>
      </c>
      <c r="X36" s="11" t="str">
        <f t="shared" si="4"/>
        <v/>
      </c>
      <c r="Y36"/>
      <c r="AB36" s="42"/>
      <c r="AC36" s="42"/>
      <c r="AD36" s="42" t="str">
        <f t="shared" si="0"/>
        <v/>
      </c>
    </row>
    <row r="37" spans="1:30" x14ac:dyDescent="0.25">
      <c r="A37" s="12"/>
      <c r="B37" s="13"/>
      <c r="C37" s="9"/>
      <c r="D37" s="9"/>
      <c r="E37" s="9"/>
      <c r="F37" s="9"/>
      <c r="G37" s="9"/>
      <c r="H37" s="9"/>
      <c r="I37" s="9"/>
      <c r="J37" s="9"/>
      <c r="K37" s="9"/>
      <c r="L37" s="10" t="str">
        <f t="shared" si="1"/>
        <v/>
      </c>
      <c r="M37" s="9"/>
      <c r="N37" s="9"/>
      <c r="O37" s="9"/>
      <c r="P37" s="9"/>
      <c r="Q37" s="9"/>
      <c r="R37" s="9"/>
      <c r="S37" s="9"/>
      <c r="T37" s="9"/>
      <c r="U37" s="9"/>
      <c r="V37" s="10" t="str">
        <f t="shared" si="2"/>
        <v/>
      </c>
      <c r="W37" s="11" t="str">
        <f t="shared" si="3"/>
        <v/>
      </c>
      <c r="X37" s="11" t="str">
        <f t="shared" si="4"/>
        <v/>
      </c>
      <c r="Y37"/>
      <c r="AB37" s="42"/>
      <c r="AC37" s="42"/>
      <c r="AD37" s="42" t="str">
        <f t="shared" si="0"/>
        <v/>
      </c>
    </row>
    <row r="38" spans="1:30" x14ac:dyDescent="0.25">
      <c r="A38" s="12"/>
      <c r="B38" s="13"/>
      <c r="C38" s="9"/>
      <c r="D38" s="9"/>
      <c r="E38" s="9"/>
      <c r="F38" s="9"/>
      <c r="G38" s="9"/>
      <c r="H38" s="9"/>
      <c r="I38" s="9"/>
      <c r="J38" s="9"/>
      <c r="K38" s="9"/>
      <c r="L38" s="10" t="str">
        <f t="shared" si="1"/>
        <v/>
      </c>
      <c r="M38" s="9"/>
      <c r="N38" s="9"/>
      <c r="O38" s="9"/>
      <c r="P38" s="9"/>
      <c r="Q38" s="9"/>
      <c r="R38" s="9"/>
      <c r="S38" s="9"/>
      <c r="T38" s="9"/>
      <c r="U38" s="9"/>
      <c r="V38" s="10" t="str">
        <f t="shared" si="2"/>
        <v/>
      </c>
      <c r="W38" s="11" t="str">
        <f t="shared" si="3"/>
        <v/>
      </c>
      <c r="X38" s="11" t="str">
        <f t="shared" si="4"/>
        <v/>
      </c>
      <c r="Y38"/>
      <c r="AB38" s="42"/>
      <c r="AC38" s="42"/>
      <c r="AD38" s="42" t="str">
        <f t="shared" si="0"/>
        <v/>
      </c>
    </row>
    <row r="39" spans="1:30" x14ac:dyDescent="0.25">
      <c r="A39" s="12"/>
      <c r="B39" s="13"/>
      <c r="C39" s="9"/>
      <c r="D39" s="9"/>
      <c r="E39" s="9"/>
      <c r="F39" s="9"/>
      <c r="G39" s="9"/>
      <c r="H39" s="9"/>
      <c r="I39" s="9"/>
      <c r="J39" s="9"/>
      <c r="K39" s="9"/>
      <c r="L39" s="10" t="str">
        <f t="shared" si="1"/>
        <v/>
      </c>
      <c r="M39" s="9"/>
      <c r="N39" s="9"/>
      <c r="O39" s="9"/>
      <c r="P39" s="9"/>
      <c r="Q39" s="9"/>
      <c r="R39" s="9"/>
      <c r="S39" s="9"/>
      <c r="T39" s="9"/>
      <c r="U39" s="9"/>
      <c r="V39" s="10" t="str">
        <f t="shared" si="2"/>
        <v/>
      </c>
      <c r="W39" s="11" t="str">
        <f t="shared" si="3"/>
        <v/>
      </c>
      <c r="X39" s="11" t="str">
        <f t="shared" si="4"/>
        <v/>
      </c>
      <c r="Y39"/>
      <c r="AB39" s="42"/>
      <c r="AC39" s="42"/>
      <c r="AD39" s="42" t="str">
        <f t="shared" si="0"/>
        <v/>
      </c>
    </row>
    <row r="40" spans="1:30" x14ac:dyDescent="0.25">
      <c r="A40" s="12"/>
      <c r="B40" s="13"/>
      <c r="C40" s="9"/>
      <c r="D40" s="9"/>
      <c r="E40" s="9"/>
      <c r="F40" s="9"/>
      <c r="G40" s="9"/>
      <c r="H40" s="9"/>
      <c r="I40" s="9"/>
      <c r="J40" s="9"/>
      <c r="K40" s="9"/>
      <c r="L40" s="10" t="str">
        <f t="shared" si="1"/>
        <v/>
      </c>
      <c r="M40" s="9"/>
      <c r="N40" s="9"/>
      <c r="O40" s="9"/>
      <c r="P40" s="9"/>
      <c r="Q40" s="9"/>
      <c r="R40" s="9"/>
      <c r="S40" s="9"/>
      <c r="T40" s="9"/>
      <c r="U40" s="9"/>
      <c r="V40" s="10" t="str">
        <f t="shared" si="2"/>
        <v/>
      </c>
      <c r="W40" s="11" t="str">
        <f t="shared" si="3"/>
        <v/>
      </c>
      <c r="X40" s="11" t="str">
        <f t="shared" si="4"/>
        <v/>
      </c>
      <c r="Y40"/>
      <c r="AB40" s="42"/>
      <c r="AC40" s="42"/>
      <c r="AD40" s="42" t="str">
        <f t="shared" si="0"/>
        <v/>
      </c>
    </row>
    <row r="41" spans="1:30" x14ac:dyDescent="0.25">
      <c r="A41" s="12"/>
      <c r="B41" s="13"/>
      <c r="C41" s="9"/>
      <c r="D41" s="9"/>
      <c r="E41" s="9"/>
      <c r="F41" s="9"/>
      <c r="G41" s="9"/>
      <c r="H41" s="9"/>
      <c r="I41" s="9"/>
      <c r="J41" s="9"/>
      <c r="K41" s="9"/>
      <c r="L41" s="10" t="str">
        <f t="shared" si="1"/>
        <v/>
      </c>
      <c r="M41" s="9"/>
      <c r="N41" s="9"/>
      <c r="O41" s="9"/>
      <c r="P41" s="9"/>
      <c r="Q41" s="9"/>
      <c r="R41" s="9"/>
      <c r="S41" s="9"/>
      <c r="T41" s="9"/>
      <c r="U41" s="9"/>
      <c r="V41" s="10" t="str">
        <f t="shared" si="2"/>
        <v/>
      </c>
      <c r="W41" s="11" t="str">
        <f t="shared" si="3"/>
        <v/>
      </c>
      <c r="X41" s="11" t="str">
        <f t="shared" si="4"/>
        <v/>
      </c>
      <c r="Y41"/>
      <c r="AB41" s="42"/>
      <c r="AC41" s="42"/>
      <c r="AD41" s="42" t="str">
        <f t="shared" si="0"/>
        <v/>
      </c>
    </row>
    <row r="42" spans="1:30" x14ac:dyDescent="0.25">
      <c r="A42" s="12"/>
      <c r="B42" s="13"/>
      <c r="C42" s="9"/>
      <c r="D42" s="9"/>
      <c r="E42" s="9"/>
      <c r="F42" s="9"/>
      <c r="G42" s="9"/>
      <c r="H42" s="9"/>
      <c r="I42" s="9"/>
      <c r="J42" s="9"/>
      <c r="K42" s="9"/>
      <c r="L42" s="10" t="str">
        <f t="shared" si="1"/>
        <v/>
      </c>
      <c r="M42" s="9"/>
      <c r="N42" s="9"/>
      <c r="O42" s="9"/>
      <c r="P42" s="9"/>
      <c r="Q42" s="9"/>
      <c r="R42" s="9"/>
      <c r="S42" s="9"/>
      <c r="T42" s="9"/>
      <c r="U42" s="9"/>
      <c r="V42" s="10" t="str">
        <f t="shared" si="2"/>
        <v/>
      </c>
      <c r="W42" s="11" t="str">
        <f t="shared" si="3"/>
        <v/>
      </c>
      <c r="X42" s="11" t="str">
        <f t="shared" si="4"/>
        <v/>
      </c>
      <c r="Y42"/>
      <c r="AB42" s="42"/>
      <c r="AC42" s="42"/>
      <c r="AD42" s="42" t="str">
        <f t="shared" si="0"/>
        <v/>
      </c>
    </row>
    <row r="43" spans="1:30" x14ac:dyDescent="0.25">
      <c r="A43" s="12"/>
      <c r="B43" s="13"/>
      <c r="C43" s="9"/>
      <c r="D43" s="9"/>
      <c r="E43" s="9"/>
      <c r="F43" s="9"/>
      <c r="G43" s="9"/>
      <c r="H43" s="9"/>
      <c r="I43" s="9"/>
      <c r="J43" s="9"/>
      <c r="K43" s="9"/>
      <c r="L43" s="10" t="str">
        <f t="shared" ref="L43:L60" si="5">IF(C43&lt;&gt;"",SUM(C43:K43),"")</f>
        <v/>
      </c>
      <c r="M43" s="9"/>
      <c r="N43" s="9"/>
      <c r="O43" s="9"/>
      <c r="P43" s="9"/>
      <c r="Q43" s="9"/>
      <c r="R43" s="9"/>
      <c r="S43" s="9"/>
      <c r="T43" s="9"/>
      <c r="U43" s="9"/>
      <c r="V43" s="10" t="str">
        <f t="shared" si="2"/>
        <v/>
      </c>
      <c r="W43" s="11" t="str">
        <f t="shared" si="3"/>
        <v/>
      </c>
      <c r="X43" s="11" t="str">
        <f t="shared" si="4"/>
        <v/>
      </c>
      <c r="Y43"/>
      <c r="AB43" s="42"/>
      <c r="AC43" s="42"/>
      <c r="AD43" s="42" t="str">
        <f t="shared" si="0"/>
        <v/>
      </c>
    </row>
    <row r="44" spans="1:30" x14ac:dyDescent="0.25">
      <c r="A44" s="12"/>
      <c r="B44" s="13"/>
      <c r="C44" s="9"/>
      <c r="D44" s="9"/>
      <c r="E44" s="9"/>
      <c r="F44" s="9"/>
      <c r="G44" s="9"/>
      <c r="H44" s="9"/>
      <c r="I44" s="9"/>
      <c r="J44" s="9"/>
      <c r="K44" s="9"/>
      <c r="L44" s="10" t="str">
        <f t="shared" si="5"/>
        <v/>
      </c>
      <c r="M44" s="9"/>
      <c r="N44" s="9"/>
      <c r="O44" s="9"/>
      <c r="P44" s="9"/>
      <c r="Q44" s="9"/>
      <c r="R44" s="9"/>
      <c r="S44" s="9"/>
      <c r="T44" s="9"/>
      <c r="U44" s="9"/>
      <c r="V44" s="10" t="str">
        <f t="shared" si="2"/>
        <v/>
      </c>
      <c r="W44" s="11" t="str">
        <f t="shared" si="3"/>
        <v/>
      </c>
      <c r="X44" s="11" t="str">
        <f t="shared" si="4"/>
        <v/>
      </c>
      <c r="Y44"/>
      <c r="AB44" s="42"/>
      <c r="AC44" s="42"/>
      <c r="AD44" s="42" t="str">
        <f t="shared" si="0"/>
        <v/>
      </c>
    </row>
    <row r="45" spans="1:30" x14ac:dyDescent="0.25">
      <c r="A45" s="12"/>
      <c r="B45" s="13"/>
      <c r="C45" s="9"/>
      <c r="D45" s="9"/>
      <c r="E45" s="9"/>
      <c r="F45" s="9"/>
      <c r="G45" s="9"/>
      <c r="H45" s="9"/>
      <c r="I45" s="9"/>
      <c r="J45" s="9"/>
      <c r="K45" s="9"/>
      <c r="L45" s="10" t="str">
        <f t="shared" si="5"/>
        <v/>
      </c>
      <c r="M45" s="9"/>
      <c r="N45" s="9"/>
      <c r="O45" s="9"/>
      <c r="P45" s="9"/>
      <c r="Q45" s="9"/>
      <c r="R45" s="9"/>
      <c r="S45" s="9"/>
      <c r="T45" s="9"/>
      <c r="U45" s="9"/>
      <c r="V45" s="10" t="str">
        <f t="shared" si="2"/>
        <v/>
      </c>
      <c r="W45" s="11" t="str">
        <f t="shared" si="3"/>
        <v/>
      </c>
      <c r="X45" s="11" t="str">
        <f t="shared" si="4"/>
        <v/>
      </c>
      <c r="Y45"/>
      <c r="AB45" s="42"/>
      <c r="AC45" s="42"/>
      <c r="AD45" s="42" t="str">
        <f t="shared" si="0"/>
        <v/>
      </c>
    </row>
    <row r="46" spans="1:30" x14ac:dyDescent="0.25">
      <c r="A46" s="12"/>
      <c r="B46" s="13"/>
      <c r="C46" s="9"/>
      <c r="D46" s="9"/>
      <c r="E46" s="9"/>
      <c r="F46" s="9"/>
      <c r="G46" s="9"/>
      <c r="H46" s="9"/>
      <c r="I46" s="9"/>
      <c r="J46" s="9"/>
      <c r="K46" s="9"/>
      <c r="L46" s="10" t="str">
        <f t="shared" si="5"/>
        <v/>
      </c>
      <c r="M46" s="9"/>
      <c r="N46" s="9"/>
      <c r="O46" s="9"/>
      <c r="P46" s="9"/>
      <c r="Q46" s="9"/>
      <c r="R46" s="9"/>
      <c r="S46" s="9"/>
      <c r="T46" s="9"/>
      <c r="U46" s="9"/>
      <c r="V46" s="10" t="str">
        <f t="shared" si="2"/>
        <v/>
      </c>
      <c r="W46" s="11" t="str">
        <f t="shared" si="3"/>
        <v/>
      </c>
      <c r="X46" s="11" t="str">
        <f t="shared" si="4"/>
        <v/>
      </c>
      <c r="Y46"/>
      <c r="AB46" s="42"/>
      <c r="AC46" s="42"/>
      <c r="AD46" s="42" t="str">
        <f t="shared" si="0"/>
        <v/>
      </c>
    </row>
    <row r="47" spans="1:30" x14ac:dyDescent="0.25">
      <c r="A47" s="12"/>
      <c r="B47" s="13"/>
      <c r="C47" s="9"/>
      <c r="D47" s="9"/>
      <c r="E47" s="9"/>
      <c r="F47" s="9"/>
      <c r="G47" s="9"/>
      <c r="H47" s="9"/>
      <c r="I47" s="9"/>
      <c r="J47" s="9"/>
      <c r="K47" s="9"/>
      <c r="L47" s="10" t="str">
        <f t="shared" si="5"/>
        <v/>
      </c>
      <c r="M47" s="9"/>
      <c r="N47" s="9"/>
      <c r="O47" s="9"/>
      <c r="P47" s="9"/>
      <c r="Q47" s="9"/>
      <c r="R47" s="9"/>
      <c r="S47" s="9"/>
      <c r="T47" s="9"/>
      <c r="U47" s="9"/>
      <c r="V47" s="10" t="str">
        <f t="shared" si="2"/>
        <v/>
      </c>
      <c r="W47" s="11" t="str">
        <f t="shared" si="3"/>
        <v/>
      </c>
      <c r="X47" s="11" t="str">
        <f t="shared" si="4"/>
        <v/>
      </c>
      <c r="Y47"/>
      <c r="AB47" s="42"/>
      <c r="AC47" s="42"/>
      <c r="AD47" s="42" t="str">
        <f t="shared" si="0"/>
        <v/>
      </c>
    </row>
    <row r="48" spans="1:30" x14ac:dyDescent="0.25">
      <c r="A48" s="12"/>
      <c r="B48" s="13"/>
      <c r="C48" s="9"/>
      <c r="D48" s="9"/>
      <c r="E48" s="9"/>
      <c r="F48" s="9"/>
      <c r="G48" s="9"/>
      <c r="H48" s="9"/>
      <c r="I48" s="9"/>
      <c r="J48" s="9"/>
      <c r="K48" s="9"/>
      <c r="L48" s="10" t="str">
        <f t="shared" si="5"/>
        <v/>
      </c>
      <c r="M48" s="9"/>
      <c r="N48" s="9"/>
      <c r="O48" s="9"/>
      <c r="P48" s="9"/>
      <c r="Q48" s="9"/>
      <c r="R48" s="9"/>
      <c r="S48" s="9"/>
      <c r="T48" s="9"/>
      <c r="U48" s="9"/>
      <c r="V48" s="10" t="str">
        <f t="shared" si="2"/>
        <v/>
      </c>
      <c r="W48" s="11" t="str">
        <f t="shared" si="3"/>
        <v/>
      </c>
      <c r="X48" s="11" t="str">
        <f t="shared" si="4"/>
        <v/>
      </c>
      <c r="Y48"/>
      <c r="AB48" s="42"/>
      <c r="AC48" s="42"/>
      <c r="AD48" s="42" t="str">
        <f t="shared" si="0"/>
        <v/>
      </c>
    </row>
    <row r="49" spans="1:30" x14ac:dyDescent="0.25">
      <c r="A49" s="12"/>
      <c r="B49" s="13"/>
      <c r="C49" s="9"/>
      <c r="D49" s="9"/>
      <c r="E49" s="9"/>
      <c r="F49" s="9"/>
      <c r="G49" s="9"/>
      <c r="H49" s="9"/>
      <c r="I49" s="9"/>
      <c r="J49" s="9"/>
      <c r="K49" s="9"/>
      <c r="L49" s="10" t="str">
        <f t="shared" si="5"/>
        <v/>
      </c>
      <c r="M49" s="9"/>
      <c r="N49" s="9"/>
      <c r="O49" s="9"/>
      <c r="P49" s="9"/>
      <c r="Q49" s="9"/>
      <c r="R49" s="9"/>
      <c r="S49" s="9"/>
      <c r="T49" s="9"/>
      <c r="U49" s="9"/>
      <c r="V49" s="10" t="str">
        <f t="shared" si="2"/>
        <v/>
      </c>
      <c r="W49" s="11" t="str">
        <f t="shared" si="3"/>
        <v/>
      </c>
      <c r="X49" s="11" t="str">
        <f t="shared" si="4"/>
        <v/>
      </c>
      <c r="Y49"/>
      <c r="AB49" s="42"/>
      <c r="AC49" s="42"/>
      <c r="AD49" s="42" t="str">
        <f t="shared" si="0"/>
        <v/>
      </c>
    </row>
    <row r="50" spans="1:30" x14ac:dyDescent="0.25">
      <c r="A50" s="12"/>
      <c r="B50" s="13"/>
      <c r="C50" s="9"/>
      <c r="D50" s="9"/>
      <c r="E50" s="9"/>
      <c r="F50" s="9"/>
      <c r="G50" s="9"/>
      <c r="H50" s="9"/>
      <c r="I50" s="9"/>
      <c r="J50" s="9"/>
      <c r="K50" s="9"/>
      <c r="L50" s="10" t="str">
        <f t="shared" si="5"/>
        <v/>
      </c>
      <c r="M50" s="9"/>
      <c r="N50" s="9"/>
      <c r="O50" s="9"/>
      <c r="P50" s="9"/>
      <c r="Q50" s="9"/>
      <c r="R50" s="9"/>
      <c r="S50" s="9"/>
      <c r="T50" s="9"/>
      <c r="U50" s="9"/>
      <c r="V50" s="10" t="str">
        <f t="shared" si="2"/>
        <v/>
      </c>
      <c r="W50" s="11" t="str">
        <f t="shared" si="3"/>
        <v/>
      </c>
      <c r="X50" s="11" t="str">
        <f t="shared" si="4"/>
        <v/>
      </c>
      <c r="Y50"/>
      <c r="AB50" s="42"/>
      <c r="AC50" s="42"/>
      <c r="AD50" s="42" t="str">
        <f t="shared" si="0"/>
        <v/>
      </c>
    </row>
    <row r="51" spans="1:30" x14ac:dyDescent="0.25">
      <c r="A51" s="12"/>
      <c r="B51" s="13"/>
      <c r="C51" s="9"/>
      <c r="D51" s="9"/>
      <c r="E51" s="9"/>
      <c r="F51" s="9"/>
      <c r="G51" s="9"/>
      <c r="H51" s="9"/>
      <c r="I51" s="9"/>
      <c r="J51" s="9"/>
      <c r="K51" s="9"/>
      <c r="L51" s="10" t="str">
        <f t="shared" si="5"/>
        <v/>
      </c>
      <c r="M51" s="9"/>
      <c r="N51" s="9"/>
      <c r="O51" s="9"/>
      <c r="P51" s="9"/>
      <c r="Q51" s="9"/>
      <c r="R51" s="9"/>
      <c r="S51" s="9"/>
      <c r="T51" s="9"/>
      <c r="U51" s="9"/>
      <c r="V51" s="10" t="str">
        <f t="shared" si="2"/>
        <v/>
      </c>
      <c r="W51" s="11" t="str">
        <f t="shared" si="3"/>
        <v/>
      </c>
      <c r="X51" s="11" t="str">
        <f t="shared" si="4"/>
        <v/>
      </c>
      <c r="Y51"/>
      <c r="AB51" s="42"/>
      <c r="AC51" s="42"/>
      <c r="AD51" s="42" t="str">
        <f t="shared" si="0"/>
        <v/>
      </c>
    </row>
    <row r="52" spans="1:30" x14ac:dyDescent="0.25">
      <c r="A52" s="12"/>
      <c r="B52" s="13"/>
      <c r="C52" s="9"/>
      <c r="D52" s="9"/>
      <c r="E52" s="9"/>
      <c r="F52" s="9"/>
      <c r="G52" s="9"/>
      <c r="H52" s="9"/>
      <c r="I52" s="9"/>
      <c r="J52" s="9"/>
      <c r="K52" s="9"/>
      <c r="L52" s="10" t="str">
        <f t="shared" si="5"/>
        <v/>
      </c>
      <c r="M52" s="9"/>
      <c r="N52" s="9"/>
      <c r="O52" s="9"/>
      <c r="P52" s="9"/>
      <c r="Q52" s="9"/>
      <c r="R52" s="9"/>
      <c r="S52" s="9"/>
      <c r="T52" s="9"/>
      <c r="U52" s="9"/>
      <c r="V52" s="10" t="str">
        <f t="shared" si="2"/>
        <v/>
      </c>
      <c r="W52" s="11" t="str">
        <f t="shared" si="3"/>
        <v/>
      </c>
      <c r="X52" s="11" t="str">
        <f t="shared" si="4"/>
        <v/>
      </c>
      <c r="Y52"/>
      <c r="AB52" s="42"/>
      <c r="AC52" s="42"/>
      <c r="AD52" s="42" t="str">
        <f t="shared" si="0"/>
        <v/>
      </c>
    </row>
    <row r="53" spans="1:30" x14ac:dyDescent="0.25">
      <c r="A53" s="12"/>
      <c r="B53" s="13"/>
      <c r="C53" s="9"/>
      <c r="D53" s="9"/>
      <c r="E53" s="9"/>
      <c r="F53" s="9"/>
      <c r="G53" s="9"/>
      <c r="H53" s="9"/>
      <c r="I53" s="9"/>
      <c r="J53" s="9"/>
      <c r="K53" s="9"/>
      <c r="L53" s="10" t="str">
        <f t="shared" si="5"/>
        <v/>
      </c>
      <c r="M53" s="9"/>
      <c r="N53" s="9"/>
      <c r="O53" s="9"/>
      <c r="P53" s="9"/>
      <c r="Q53" s="9"/>
      <c r="R53" s="9"/>
      <c r="S53" s="9"/>
      <c r="T53" s="9"/>
      <c r="U53" s="9"/>
      <c r="V53" s="10" t="str">
        <f t="shared" si="2"/>
        <v/>
      </c>
      <c r="W53" s="11" t="str">
        <f t="shared" si="3"/>
        <v/>
      </c>
      <c r="X53" s="11" t="str">
        <f t="shared" si="4"/>
        <v/>
      </c>
      <c r="Y53"/>
      <c r="AB53" s="42"/>
      <c r="AC53" s="42"/>
      <c r="AD53" s="42" t="str">
        <f t="shared" si="0"/>
        <v/>
      </c>
    </row>
    <row r="54" spans="1:30" x14ac:dyDescent="0.25">
      <c r="A54" s="12"/>
      <c r="B54" s="13"/>
      <c r="C54" s="9"/>
      <c r="D54" s="9"/>
      <c r="E54" s="9"/>
      <c r="F54" s="9"/>
      <c r="G54" s="9"/>
      <c r="H54" s="9"/>
      <c r="I54" s="9"/>
      <c r="J54" s="9"/>
      <c r="K54" s="9"/>
      <c r="L54" s="10" t="str">
        <f t="shared" si="5"/>
        <v/>
      </c>
      <c r="M54" s="9"/>
      <c r="N54" s="9"/>
      <c r="O54" s="9"/>
      <c r="P54" s="9"/>
      <c r="Q54" s="9"/>
      <c r="R54" s="9"/>
      <c r="S54" s="9"/>
      <c r="T54" s="9"/>
      <c r="U54" s="9"/>
      <c r="V54" s="10" t="str">
        <f t="shared" si="2"/>
        <v/>
      </c>
      <c r="W54" s="11" t="str">
        <f t="shared" si="3"/>
        <v/>
      </c>
      <c r="X54" s="11" t="str">
        <f t="shared" si="4"/>
        <v/>
      </c>
      <c r="Y54"/>
      <c r="AB54" s="42"/>
      <c r="AC54" s="42"/>
      <c r="AD54" s="42" t="str">
        <f t="shared" si="0"/>
        <v/>
      </c>
    </row>
    <row r="55" spans="1:30" x14ac:dyDescent="0.25">
      <c r="A55" s="12"/>
      <c r="B55" s="13"/>
      <c r="C55" s="9"/>
      <c r="D55" s="9"/>
      <c r="E55" s="9"/>
      <c r="F55" s="9"/>
      <c r="G55" s="9"/>
      <c r="H55" s="9"/>
      <c r="I55" s="9"/>
      <c r="J55" s="9"/>
      <c r="K55" s="9"/>
      <c r="L55" s="10" t="str">
        <f t="shared" si="5"/>
        <v/>
      </c>
      <c r="M55" s="9"/>
      <c r="N55" s="9"/>
      <c r="O55" s="9"/>
      <c r="P55" s="9"/>
      <c r="Q55" s="9"/>
      <c r="R55" s="9"/>
      <c r="S55" s="9"/>
      <c r="T55" s="9"/>
      <c r="U55" s="9"/>
      <c r="V55" s="10" t="str">
        <f t="shared" si="2"/>
        <v/>
      </c>
      <c r="W55" s="11" t="str">
        <f t="shared" si="3"/>
        <v/>
      </c>
      <c r="X55" s="11" t="str">
        <f t="shared" si="4"/>
        <v/>
      </c>
      <c r="Y55"/>
      <c r="AB55" s="42"/>
      <c r="AC55" s="42"/>
      <c r="AD55" s="42" t="str">
        <f t="shared" si="0"/>
        <v/>
      </c>
    </row>
    <row r="56" spans="1:30" x14ac:dyDescent="0.25">
      <c r="A56" s="12"/>
      <c r="B56" s="13"/>
      <c r="C56" s="9"/>
      <c r="D56" s="9"/>
      <c r="E56" s="9"/>
      <c r="F56" s="9"/>
      <c r="G56" s="9"/>
      <c r="H56" s="9"/>
      <c r="I56" s="9"/>
      <c r="J56" s="9"/>
      <c r="K56" s="9"/>
      <c r="L56" s="10" t="str">
        <f t="shared" si="5"/>
        <v/>
      </c>
      <c r="M56" s="9"/>
      <c r="N56" s="9"/>
      <c r="O56" s="9"/>
      <c r="P56" s="9"/>
      <c r="Q56" s="9"/>
      <c r="R56" s="9"/>
      <c r="S56" s="9"/>
      <c r="T56" s="9"/>
      <c r="U56" s="9"/>
      <c r="V56" s="10" t="str">
        <f t="shared" si="2"/>
        <v/>
      </c>
      <c r="W56" s="11" t="str">
        <f t="shared" si="3"/>
        <v/>
      </c>
      <c r="X56" s="11" t="str">
        <f t="shared" si="4"/>
        <v/>
      </c>
      <c r="Y56"/>
      <c r="AB56" s="42"/>
      <c r="AC56" s="42"/>
      <c r="AD56" s="42" t="str">
        <f t="shared" si="0"/>
        <v/>
      </c>
    </row>
    <row r="57" spans="1:30" x14ac:dyDescent="0.25">
      <c r="A57" s="12"/>
      <c r="B57" s="13"/>
      <c r="C57" s="9"/>
      <c r="D57" s="9"/>
      <c r="E57" s="9"/>
      <c r="F57" s="9"/>
      <c r="G57" s="9"/>
      <c r="H57" s="9"/>
      <c r="I57" s="9"/>
      <c r="J57" s="9"/>
      <c r="K57" s="9"/>
      <c r="L57" s="10" t="str">
        <f t="shared" si="5"/>
        <v/>
      </c>
      <c r="M57" s="9"/>
      <c r="N57" s="9"/>
      <c r="O57" s="9"/>
      <c r="P57" s="9"/>
      <c r="Q57" s="9"/>
      <c r="R57" s="9"/>
      <c r="S57" s="9"/>
      <c r="T57" s="9"/>
      <c r="U57" s="9"/>
      <c r="V57" s="10" t="str">
        <f t="shared" si="2"/>
        <v/>
      </c>
      <c r="W57" s="11" t="str">
        <f t="shared" si="3"/>
        <v/>
      </c>
      <c r="X57" s="11" t="str">
        <f t="shared" si="4"/>
        <v/>
      </c>
      <c r="Y57"/>
      <c r="AB57" s="42"/>
      <c r="AC57" s="42"/>
      <c r="AD57" s="42" t="str">
        <f t="shared" si="0"/>
        <v/>
      </c>
    </row>
    <row r="58" spans="1:30" x14ac:dyDescent="0.25">
      <c r="A58" s="12"/>
      <c r="B58" s="13"/>
      <c r="C58" s="9"/>
      <c r="D58" s="9"/>
      <c r="E58" s="9"/>
      <c r="F58" s="9"/>
      <c r="G58" s="9"/>
      <c r="H58" s="9"/>
      <c r="I58" s="9"/>
      <c r="J58" s="9"/>
      <c r="K58" s="9"/>
      <c r="L58" s="10" t="str">
        <f t="shared" si="5"/>
        <v/>
      </c>
      <c r="M58" s="9"/>
      <c r="N58" s="9"/>
      <c r="O58" s="9"/>
      <c r="P58" s="9"/>
      <c r="Q58" s="9"/>
      <c r="R58" s="9"/>
      <c r="S58" s="9"/>
      <c r="T58" s="9"/>
      <c r="U58" s="9"/>
      <c r="V58" s="10" t="str">
        <f t="shared" si="2"/>
        <v/>
      </c>
      <c r="W58" s="11" t="str">
        <f t="shared" si="3"/>
        <v/>
      </c>
      <c r="X58" s="11" t="str">
        <f t="shared" si="4"/>
        <v/>
      </c>
      <c r="Y58"/>
      <c r="AB58" s="42"/>
      <c r="AC58" s="42"/>
      <c r="AD58" s="42" t="str">
        <f t="shared" si="0"/>
        <v/>
      </c>
    </row>
    <row r="59" spans="1:30" x14ac:dyDescent="0.25">
      <c r="A59" s="12"/>
      <c r="B59" s="13"/>
      <c r="C59" s="9"/>
      <c r="D59" s="9"/>
      <c r="E59" s="9"/>
      <c r="F59" s="9"/>
      <c r="G59" s="9"/>
      <c r="H59" s="9"/>
      <c r="I59" s="9"/>
      <c r="J59" s="9"/>
      <c r="K59" s="9"/>
      <c r="L59" s="10" t="str">
        <f t="shared" si="5"/>
        <v/>
      </c>
      <c r="M59" s="9"/>
      <c r="N59" s="9"/>
      <c r="O59" s="9"/>
      <c r="P59" s="9"/>
      <c r="Q59" s="9"/>
      <c r="R59" s="9"/>
      <c r="S59" s="9"/>
      <c r="T59" s="9"/>
      <c r="U59" s="9"/>
      <c r="V59" s="10" t="str">
        <f t="shared" si="2"/>
        <v/>
      </c>
      <c r="W59" s="11" t="str">
        <f t="shared" si="3"/>
        <v/>
      </c>
      <c r="X59" s="11" t="str">
        <f t="shared" si="4"/>
        <v/>
      </c>
      <c r="Y59"/>
      <c r="AB59" s="42"/>
      <c r="AC59" s="42"/>
      <c r="AD59" s="42" t="str">
        <f t="shared" si="0"/>
        <v/>
      </c>
    </row>
    <row r="60" spans="1:30" x14ac:dyDescent="0.25">
      <c r="A60" s="45"/>
      <c r="B60" s="14"/>
      <c r="C60" s="15"/>
      <c r="D60" s="15"/>
      <c r="E60" s="15"/>
      <c r="F60" s="15"/>
      <c r="G60" s="15"/>
      <c r="H60" s="15"/>
      <c r="I60" s="15"/>
      <c r="J60" s="15"/>
      <c r="K60" s="15"/>
      <c r="L60" s="16" t="str">
        <f t="shared" si="5"/>
        <v/>
      </c>
      <c r="M60" s="15"/>
      <c r="N60" s="15"/>
      <c r="O60" s="15"/>
      <c r="P60" s="15"/>
      <c r="Q60" s="15"/>
      <c r="R60" s="15"/>
      <c r="S60" s="15"/>
      <c r="T60" s="15"/>
      <c r="U60" s="15"/>
      <c r="V60" s="16" t="str">
        <f t="shared" si="2"/>
        <v/>
      </c>
      <c r="W60" s="17" t="str">
        <f t="shared" si="3"/>
        <v/>
      </c>
      <c r="X60" s="17" t="str">
        <f t="shared" si="4"/>
        <v/>
      </c>
      <c r="Y60"/>
      <c r="AB60" s="42"/>
      <c r="AC60" s="42"/>
      <c r="AD60" s="42" t="str">
        <f t="shared" si="0"/>
        <v/>
      </c>
    </row>
  </sheetData>
  <sheetProtection sheet="1" objects="1" scenarios="1" selectLockedCells="1"/>
  <mergeCells count="47">
    <mergeCell ref="B1:C1"/>
    <mergeCell ref="D1:E1"/>
    <mergeCell ref="G1:L1"/>
    <mergeCell ref="M1:N1"/>
    <mergeCell ref="P1:V1"/>
    <mergeCell ref="R2:S2"/>
    <mergeCell ref="T2:U2"/>
    <mergeCell ref="B3:C3"/>
    <mergeCell ref="D3:E3"/>
    <mergeCell ref="G3:L3"/>
    <mergeCell ref="M3:N3"/>
    <mergeCell ref="P3:Q3"/>
    <mergeCell ref="R3:S3"/>
    <mergeCell ref="T3:U3"/>
    <mergeCell ref="B2:C2"/>
    <mergeCell ref="D2:E2"/>
    <mergeCell ref="G2:L2"/>
    <mergeCell ref="M2:N2"/>
    <mergeCell ref="P2:Q2"/>
    <mergeCell ref="T4:U4"/>
    <mergeCell ref="B5:C5"/>
    <mergeCell ref="D5:E5"/>
    <mergeCell ref="G5:L5"/>
    <mergeCell ref="M5:N5"/>
    <mergeCell ref="P5:Q5"/>
    <mergeCell ref="R5:S5"/>
    <mergeCell ref="T5:U5"/>
    <mergeCell ref="B4:C4"/>
    <mergeCell ref="D4:E4"/>
    <mergeCell ref="G4:L4"/>
    <mergeCell ref="M4:N4"/>
    <mergeCell ref="P4:Q4"/>
    <mergeCell ref="R4:S4"/>
    <mergeCell ref="T6:U6"/>
    <mergeCell ref="B7:C7"/>
    <mergeCell ref="D7:E7"/>
    <mergeCell ref="G7:L7"/>
    <mergeCell ref="M7:N7"/>
    <mergeCell ref="P7:Q7"/>
    <mergeCell ref="R7:S7"/>
    <mergeCell ref="T7:U7"/>
    <mergeCell ref="B6:C6"/>
    <mergeCell ref="D6:E6"/>
    <mergeCell ref="G6:L6"/>
    <mergeCell ref="M6:N6"/>
    <mergeCell ref="P6:Q6"/>
    <mergeCell ref="R6:S6"/>
  </mergeCells>
  <dataValidations count="1">
    <dataValidation type="list" allowBlank="1" showInputMessage="1" showErrorMessage="1" sqref="B11:B60" xr:uid="{3626C4B9-97D3-4458-ADEB-3F6CC12B74BA}">
      <formula1>$AB:$AB</formula1>
    </dataValidation>
  </dataValidations>
  <printOptions horizontalCentered="1"/>
  <pageMargins left="0.7" right="0.7" top="0.75" bottom="0.75" header="0.3" footer="0.3"/>
  <pageSetup scale="76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247DF-E96F-45FB-8D7A-9F70A79DBF4F}">
  <sheetPr codeName="Sheet11"/>
  <dimension ref="A1:AD60"/>
  <sheetViews>
    <sheetView tabSelected="1" workbookViewId="0">
      <pane ySplit="10" topLeftCell="A11" activePane="bottomLeft" state="frozen"/>
      <selection pane="bottomLeft" activeCell="A12" sqref="A12"/>
    </sheetView>
  </sheetViews>
  <sheetFormatPr defaultRowHeight="15" x14ac:dyDescent="0.25"/>
  <cols>
    <col min="1" max="1" width="9.85546875" customWidth="1"/>
    <col min="2" max="2" width="16.42578125" customWidth="1"/>
    <col min="3" max="3" width="3" customWidth="1"/>
    <col min="4" max="11" width="3" style="1" customWidth="1"/>
    <col min="12" max="12" width="5.28515625" style="1" customWidth="1"/>
    <col min="13" max="21" width="3" style="1" customWidth="1"/>
    <col min="22" max="24" width="5.28515625" style="1" customWidth="1"/>
    <col min="25" max="25" width="2" style="1" customWidth="1"/>
    <col min="26" max="26" width="10.5703125" customWidth="1"/>
    <col min="27" max="27" width="10.7109375" customWidth="1"/>
    <col min="28" max="28" width="19.85546875" style="44" customWidth="1"/>
    <col min="29" max="29" width="4.5703125" style="44" customWidth="1"/>
    <col min="30" max="30" width="4.28515625" style="44" customWidth="1"/>
  </cols>
  <sheetData>
    <row r="1" spans="1:30" x14ac:dyDescent="0.25">
      <c r="A1" s="2"/>
      <c r="B1" s="48" t="s">
        <v>39</v>
      </c>
      <c r="C1" s="49"/>
      <c r="D1" s="50">
        <f>ROUND(AVERAGE(W11:W60),0)</f>
        <v>94</v>
      </c>
      <c r="E1" s="51"/>
      <c r="G1" s="57" t="s">
        <v>2</v>
      </c>
      <c r="H1" s="58"/>
      <c r="I1" s="58"/>
      <c r="J1" s="58"/>
      <c r="K1" s="58"/>
      <c r="L1" s="58"/>
      <c r="M1" s="59">
        <f>MIN(W11:W60)</f>
        <v>94</v>
      </c>
      <c r="N1" s="60"/>
      <c r="P1" s="61" t="s">
        <v>0</v>
      </c>
      <c r="Q1" s="62"/>
      <c r="R1" s="62"/>
      <c r="S1" s="62"/>
      <c r="T1" s="62"/>
      <c r="U1" s="62"/>
      <c r="V1" s="63"/>
      <c r="Z1" s="35"/>
      <c r="AA1" s="35"/>
      <c r="AB1" s="41" t="s">
        <v>37</v>
      </c>
      <c r="AC1" s="41" t="s">
        <v>35</v>
      </c>
      <c r="AD1" s="41" t="s">
        <v>36</v>
      </c>
    </row>
    <row r="2" spans="1:30" x14ac:dyDescent="0.25">
      <c r="A2" s="2"/>
      <c r="B2" s="48" t="s">
        <v>42</v>
      </c>
      <c r="C2" s="49"/>
      <c r="D2" s="50">
        <f>AVERAGEIF(X:X,"&gt;0")</f>
        <v>22</v>
      </c>
      <c r="E2" s="51"/>
      <c r="G2" s="48"/>
      <c r="H2" s="49"/>
      <c r="I2" s="49"/>
      <c r="J2" s="49"/>
      <c r="K2" s="49"/>
      <c r="L2" s="49"/>
      <c r="M2" s="54"/>
      <c r="N2" s="55"/>
      <c r="P2" s="46" t="s">
        <v>3</v>
      </c>
      <c r="Q2" s="47"/>
      <c r="R2" s="53">
        <v>260</v>
      </c>
      <c r="S2" s="53"/>
      <c r="T2" s="52" t="s">
        <v>4</v>
      </c>
      <c r="U2" s="47"/>
      <c r="V2" s="3">
        <v>160</v>
      </c>
      <c r="Z2" s="36"/>
      <c r="AA2" s="36"/>
      <c r="AB2" s="42"/>
      <c r="AC2" s="42"/>
      <c r="AD2" s="42" t="str">
        <f>IF(AC2&lt;&gt;"",AC2-72,"")</f>
        <v/>
      </c>
    </row>
    <row r="3" spans="1:30" x14ac:dyDescent="0.25">
      <c r="A3" s="2"/>
      <c r="B3" s="48" t="s">
        <v>10</v>
      </c>
      <c r="C3" s="49"/>
      <c r="D3" s="50">
        <f>COUNTIF(C11:V60,-1)</f>
        <v>0</v>
      </c>
      <c r="E3" s="51"/>
      <c r="G3" s="48" t="s">
        <v>11</v>
      </c>
      <c r="H3" s="49"/>
      <c r="I3" s="49"/>
      <c r="J3" s="49"/>
      <c r="K3" s="49"/>
      <c r="L3" s="49"/>
      <c r="M3" s="54">
        <f>D3/$M$7</f>
        <v>0</v>
      </c>
      <c r="N3" s="55"/>
      <c r="P3" s="46" t="s">
        <v>7</v>
      </c>
      <c r="Q3" s="47"/>
      <c r="R3" s="53">
        <v>210</v>
      </c>
      <c r="S3" s="53"/>
      <c r="T3" s="52" t="s">
        <v>8</v>
      </c>
      <c r="U3" s="47"/>
      <c r="V3" s="3">
        <v>150</v>
      </c>
      <c r="Z3" s="36"/>
      <c r="AA3" s="36"/>
      <c r="AB3" s="42" t="s">
        <v>9</v>
      </c>
      <c r="AC3" s="42">
        <v>72</v>
      </c>
      <c r="AD3" s="42">
        <f t="shared" ref="AD3:AD60" si="0">IF(AC3&lt;&gt;"",AC3-72,"")</f>
        <v>0</v>
      </c>
    </row>
    <row r="4" spans="1:30" x14ac:dyDescent="0.25">
      <c r="B4" s="48" t="s">
        <v>15</v>
      </c>
      <c r="C4" s="49"/>
      <c r="D4" s="50">
        <f>COUNTIF(C11:V60,0)</f>
        <v>2</v>
      </c>
      <c r="E4" s="51"/>
      <c r="G4" s="48" t="s">
        <v>16</v>
      </c>
      <c r="H4" s="49"/>
      <c r="I4" s="49"/>
      <c r="J4" s="49"/>
      <c r="K4" s="49"/>
      <c r="L4" s="49"/>
      <c r="M4" s="54">
        <f>D4/$M$7</f>
        <v>0.22222222222222221</v>
      </c>
      <c r="N4" s="55"/>
      <c r="P4" s="46" t="s">
        <v>12</v>
      </c>
      <c r="Q4" s="47"/>
      <c r="R4" s="53"/>
      <c r="S4" s="53"/>
      <c r="T4" s="52" t="s">
        <v>13</v>
      </c>
      <c r="U4" s="47"/>
      <c r="V4" s="3">
        <v>140</v>
      </c>
      <c r="Z4" s="36"/>
      <c r="AA4" s="36"/>
      <c r="AB4" s="42" t="s">
        <v>24</v>
      </c>
      <c r="AC4" s="42">
        <v>72</v>
      </c>
      <c r="AD4" s="42">
        <f t="shared" si="0"/>
        <v>0</v>
      </c>
    </row>
    <row r="5" spans="1:30" x14ac:dyDescent="0.25">
      <c r="B5" s="48" t="s">
        <v>20</v>
      </c>
      <c r="C5" s="49"/>
      <c r="D5" s="50">
        <f>COUNTIF(C11:V60,1)</f>
        <v>4</v>
      </c>
      <c r="E5" s="51"/>
      <c r="G5" s="48" t="s">
        <v>21</v>
      </c>
      <c r="H5" s="49"/>
      <c r="I5" s="49"/>
      <c r="J5" s="49"/>
      <c r="K5" s="49"/>
      <c r="L5" s="49"/>
      <c r="M5" s="54">
        <f>D5/$M$7</f>
        <v>0.44444444444444442</v>
      </c>
      <c r="N5" s="55"/>
      <c r="P5" s="56" t="s">
        <v>17</v>
      </c>
      <c r="Q5" s="47"/>
      <c r="R5" s="53"/>
      <c r="S5" s="53"/>
      <c r="T5" s="52" t="s">
        <v>18</v>
      </c>
      <c r="U5" s="47"/>
      <c r="V5" s="3">
        <v>130</v>
      </c>
      <c r="Z5" s="36"/>
      <c r="AA5" s="36"/>
      <c r="AB5" s="42" t="s">
        <v>19</v>
      </c>
      <c r="AC5" s="42">
        <v>72</v>
      </c>
      <c r="AD5" s="42">
        <f t="shared" si="0"/>
        <v>0</v>
      </c>
    </row>
    <row r="6" spans="1:30" x14ac:dyDescent="0.25">
      <c r="B6" s="48" t="s">
        <v>25</v>
      </c>
      <c r="C6" s="49"/>
      <c r="D6" s="50">
        <f>COUNTIF(C11:V60,2)</f>
        <v>2</v>
      </c>
      <c r="E6" s="51"/>
      <c r="G6" s="48" t="s">
        <v>26</v>
      </c>
      <c r="H6" s="49"/>
      <c r="I6" s="49"/>
      <c r="J6" s="49"/>
      <c r="K6" s="49"/>
      <c r="L6" s="49"/>
      <c r="M6" s="54">
        <f>D6/$M$7</f>
        <v>0.22222222222222221</v>
      </c>
      <c r="N6" s="55"/>
      <c r="P6" s="56" t="s">
        <v>22</v>
      </c>
      <c r="Q6" s="47"/>
      <c r="R6" s="53">
        <v>180</v>
      </c>
      <c r="S6" s="53"/>
      <c r="T6" s="46" t="s">
        <v>23</v>
      </c>
      <c r="U6" s="47"/>
      <c r="V6" s="3">
        <v>120</v>
      </c>
      <c r="Z6" s="36"/>
      <c r="AA6" s="36"/>
      <c r="AB6" s="42" t="s">
        <v>34</v>
      </c>
      <c r="AC6" s="42">
        <v>70</v>
      </c>
      <c r="AD6" s="42">
        <f t="shared" si="0"/>
        <v>-2</v>
      </c>
    </row>
    <row r="7" spans="1:30" x14ac:dyDescent="0.25">
      <c r="B7" s="48" t="s">
        <v>40</v>
      </c>
      <c r="C7" s="49"/>
      <c r="D7" s="50">
        <f>COUNTA(A10:A60)-1</f>
        <v>1</v>
      </c>
      <c r="E7" s="51"/>
      <c r="G7" s="48" t="s">
        <v>38</v>
      </c>
      <c r="H7" s="49"/>
      <c r="I7" s="49"/>
      <c r="J7" s="49"/>
      <c r="K7" s="49"/>
      <c r="L7" s="49"/>
      <c r="M7" s="50">
        <f>COUNT(C11:K60)+COUNT(M11:U60)</f>
        <v>9</v>
      </c>
      <c r="N7" s="51"/>
      <c r="P7" s="52" t="s">
        <v>27</v>
      </c>
      <c r="Q7" s="47"/>
      <c r="R7" s="53">
        <v>170</v>
      </c>
      <c r="S7" s="53"/>
      <c r="T7" s="46" t="s">
        <v>28</v>
      </c>
      <c r="U7" s="47"/>
      <c r="V7" s="3">
        <v>80</v>
      </c>
      <c r="Z7" s="36"/>
      <c r="AA7" s="36"/>
      <c r="AB7" s="42" t="s">
        <v>14</v>
      </c>
      <c r="AC7" s="42">
        <v>72</v>
      </c>
      <c r="AD7" s="42">
        <f t="shared" si="0"/>
        <v>0</v>
      </c>
    </row>
    <row r="8" spans="1:30" x14ac:dyDescent="0.25">
      <c r="O8" s="37"/>
      <c r="P8" s="38"/>
      <c r="Q8" s="39"/>
      <c r="R8" s="40"/>
      <c r="S8" s="40"/>
      <c r="T8" s="39"/>
      <c r="U8" s="39"/>
      <c r="V8" s="40"/>
      <c r="W8" s="37"/>
      <c r="Z8" s="36"/>
      <c r="AA8" s="36"/>
      <c r="AB8" s="42" t="s">
        <v>43</v>
      </c>
      <c r="AC8" s="42">
        <v>72</v>
      </c>
      <c r="AD8" s="42">
        <f t="shared" si="0"/>
        <v>0</v>
      </c>
    </row>
    <row r="9" spans="1:30" x14ac:dyDescent="0.25">
      <c r="Z9" s="36"/>
      <c r="AA9" s="36"/>
      <c r="AB9" s="42"/>
      <c r="AC9" s="42"/>
      <c r="AD9" s="42" t="str">
        <f t="shared" si="0"/>
        <v/>
      </c>
    </row>
    <row r="10" spans="1:30" s="6" customFormat="1" x14ac:dyDescent="0.25">
      <c r="A10" s="4" t="s">
        <v>29</v>
      </c>
      <c r="B10" s="4" t="s">
        <v>1</v>
      </c>
      <c r="C10" s="4">
        <v>1</v>
      </c>
      <c r="D10" s="4">
        <v>2</v>
      </c>
      <c r="E10" s="4">
        <v>3</v>
      </c>
      <c r="F10" s="4">
        <v>4</v>
      </c>
      <c r="G10" s="4">
        <v>5</v>
      </c>
      <c r="H10" s="4">
        <v>6</v>
      </c>
      <c r="I10" s="4">
        <v>7</v>
      </c>
      <c r="J10" s="4">
        <v>8</v>
      </c>
      <c r="K10" s="4">
        <v>9</v>
      </c>
      <c r="L10" s="5" t="s">
        <v>30</v>
      </c>
      <c r="M10" s="4">
        <v>10</v>
      </c>
      <c r="N10" s="4">
        <v>11</v>
      </c>
      <c r="O10" s="4">
        <v>12</v>
      </c>
      <c r="P10" s="4">
        <v>13</v>
      </c>
      <c r="Q10" s="4">
        <v>14</v>
      </c>
      <c r="R10" s="4">
        <v>15</v>
      </c>
      <c r="S10" s="4">
        <v>16</v>
      </c>
      <c r="T10" s="4">
        <v>17</v>
      </c>
      <c r="U10" s="4">
        <v>18</v>
      </c>
      <c r="V10" s="5" t="s">
        <v>31</v>
      </c>
      <c r="W10" s="4" t="s">
        <v>32</v>
      </c>
      <c r="X10" s="4" t="s">
        <v>33</v>
      </c>
      <c r="AB10" s="43"/>
      <c r="AC10" s="43"/>
      <c r="AD10" s="42" t="str">
        <f t="shared" si="0"/>
        <v/>
      </c>
    </row>
    <row r="11" spans="1:30" x14ac:dyDescent="0.25">
      <c r="A11" s="7">
        <v>43298</v>
      </c>
      <c r="B11" s="8" t="s">
        <v>43</v>
      </c>
      <c r="C11" s="9">
        <v>1</v>
      </c>
      <c r="D11" s="9">
        <v>3</v>
      </c>
      <c r="E11" s="9">
        <v>0</v>
      </c>
      <c r="F11" s="9">
        <v>1</v>
      </c>
      <c r="G11" s="9">
        <v>2</v>
      </c>
      <c r="H11" s="9">
        <v>1</v>
      </c>
      <c r="I11" s="9">
        <v>0</v>
      </c>
      <c r="J11" s="9">
        <v>1</v>
      </c>
      <c r="K11" s="9">
        <v>2</v>
      </c>
      <c r="L11" s="10">
        <f t="shared" ref="L11:L42" si="1">IF(C11&lt;&gt;"",SUM(C11:K11),"")</f>
        <v>11</v>
      </c>
      <c r="M11" s="9"/>
      <c r="N11" s="9"/>
      <c r="O11" s="9"/>
      <c r="P11" s="9"/>
      <c r="Q11" s="9"/>
      <c r="R11" s="9"/>
      <c r="S11" s="9"/>
      <c r="T11" s="9"/>
      <c r="U11" s="9"/>
      <c r="V11" s="10" t="str">
        <f t="shared" ref="V11:V60" si="2">IF(M11&lt;&gt;"",SUM(M11:U11),"")</f>
        <v/>
      </c>
      <c r="W11" s="11">
        <f t="shared" ref="W11:W60" si="3">IF(L11&lt;&gt;"",IF(M11="",(L11*2+(LOOKUP(B11,AB:AB,AD:AD)))+72,L11+V11+72+LOOKUP(B11,AB:AB,AD:AD)),"")</f>
        <v>94</v>
      </c>
      <c r="X11" s="11">
        <f t="shared" ref="X11:X60" si="4">IF(W11&lt;&gt;"",W11-72,"")</f>
        <v>22</v>
      </c>
      <c r="Y11"/>
      <c r="AB11" s="42"/>
      <c r="AC11" s="42"/>
      <c r="AD11" s="42" t="str">
        <f t="shared" si="0"/>
        <v/>
      </c>
    </row>
    <row r="12" spans="1:30" x14ac:dyDescent="0.25">
      <c r="A12" s="12"/>
      <c r="B12" s="13"/>
      <c r="C12" s="9"/>
      <c r="D12" s="9"/>
      <c r="E12" s="9"/>
      <c r="F12" s="9"/>
      <c r="G12" s="9"/>
      <c r="H12" s="9"/>
      <c r="I12" s="9"/>
      <c r="J12" s="9"/>
      <c r="K12" s="9"/>
      <c r="L12" s="10" t="str">
        <f t="shared" si="1"/>
        <v/>
      </c>
      <c r="M12" s="9"/>
      <c r="N12" s="9"/>
      <c r="O12" s="9"/>
      <c r="P12" s="9"/>
      <c r="Q12" s="9"/>
      <c r="R12" s="9"/>
      <c r="S12" s="9"/>
      <c r="T12" s="9"/>
      <c r="U12" s="9"/>
      <c r="V12" s="10" t="str">
        <f t="shared" si="2"/>
        <v/>
      </c>
      <c r="W12" s="11" t="str">
        <f t="shared" si="3"/>
        <v/>
      </c>
      <c r="X12" s="11" t="str">
        <f t="shared" si="4"/>
        <v/>
      </c>
      <c r="Y12"/>
      <c r="AB12" s="42"/>
      <c r="AC12" s="42"/>
      <c r="AD12" s="42" t="str">
        <f t="shared" si="0"/>
        <v/>
      </c>
    </row>
    <row r="13" spans="1:30" x14ac:dyDescent="0.25">
      <c r="A13" s="12"/>
      <c r="B13" s="13"/>
      <c r="C13" s="9"/>
      <c r="D13" s="9"/>
      <c r="E13" s="9"/>
      <c r="F13" s="9"/>
      <c r="G13" s="9"/>
      <c r="H13" s="9"/>
      <c r="I13" s="9"/>
      <c r="J13" s="9"/>
      <c r="K13" s="9"/>
      <c r="L13" s="10" t="str">
        <f t="shared" si="1"/>
        <v/>
      </c>
      <c r="M13" s="9"/>
      <c r="N13" s="9"/>
      <c r="O13" s="9"/>
      <c r="P13" s="9"/>
      <c r="Q13" s="9"/>
      <c r="R13" s="9"/>
      <c r="S13" s="9"/>
      <c r="T13" s="9"/>
      <c r="U13" s="9"/>
      <c r="V13" s="10" t="str">
        <f t="shared" si="2"/>
        <v/>
      </c>
      <c r="W13" s="11" t="str">
        <f t="shared" si="3"/>
        <v/>
      </c>
      <c r="X13" s="11" t="str">
        <f t="shared" si="4"/>
        <v/>
      </c>
      <c r="Y13"/>
      <c r="AB13" s="42"/>
      <c r="AC13" s="42"/>
      <c r="AD13" s="42" t="str">
        <f t="shared" si="0"/>
        <v/>
      </c>
    </row>
    <row r="14" spans="1:30" x14ac:dyDescent="0.25">
      <c r="A14" s="12"/>
      <c r="B14" s="13"/>
      <c r="C14" s="9"/>
      <c r="D14" s="9"/>
      <c r="E14" s="9"/>
      <c r="F14" s="9"/>
      <c r="G14" s="9"/>
      <c r="H14" s="9"/>
      <c r="I14" s="9"/>
      <c r="J14" s="9"/>
      <c r="K14" s="9"/>
      <c r="L14" s="10" t="str">
        <f t="shared" si="1"/>
        <v/>
      </c>
      <c r="M14" s="9"/>
      <c r="N14" s="9"/>
      <c r="O14" s="9"/>
      <c r="P14" s="9"/>
      <c r="Q14" s="9"/>
      <c r="R14" s="9"/>
      <c r="S14" s="9"/>
      <c r="T14" s="9"/>
      <c r="U14" s="9"/>
      <c r="V14" s="10" t="str">
        <f t="shared" si="2"/>
        <v/>
      </c>
      <c r="W14" s="11" t="str">
        <f t="shared" si="3"/>
        <v/>
      </c>
      <c r="X14" s="11" t="str">
        <f t="shared" si="4"/>
        <v/>
      </c>
      <c r="Y14"/>
      <c r="AB14" s="42"/>
      <c r="AC14" s="42"/>
      <c r="AD14" s="42" t="str">
        <f t="shared" si="0"/>
        <v/>
      </c>
    </row>
    <row r="15" spans="1:30" x14ac:dyDescent="0.25">
      <c r="A15" s="12"/>
      <c r="B15" s="13"/>
      <c r="C15" s="9"/>
      <c r="D15" s="9"/>
      <c r="E15" s="9"/>
      <c r="F15" s="9"/>
      <c r="G15" s="9"/>
      <c r="H15" s="9"/>
      <c r="I15" s="9"/>
      <c r="J15" s="9"/>
      <c r="K15" s="9"/>
      <c r="L15" s="10" t="str">
        <f t="shared" si="1"/>
        <v/>
      </c>
      <c r="M15" s="9"/>
      <c r="N15" s="9"/>
      <c r="O15" s="9"/>
      <c r="P15" s="9"/>
      <c r="Q15" s="9"/>
      <c r="R15" s="9"/>
      <c r="S15" s="9"/>
      <c r="T15" s="9"/>
      <c r="U15" s="9"/>
      <c r="V15" s="10" t="str">
        <f t="shared" si="2"/>
        <v/>
      </c>
      <c r="W15" s="11" t="str">
        <f t="shared" si="3"/>
        <v/>
      </c>
      <c r="X15" s="11" t="str">
        <f t="shared" si="4"/>
        <v/>
      </c>
      <c r="Y15"/>
      <c r="AB15" s="42"/>
      <c r="AC15" s="42"/>
      <c r="AD15" s="42" t="str">
        <f t="shared" si="0"/>
        <v/>
      </c>
    </row>
    <row r="16" spans="1:30" x14ac:dyDescent="0.25">
      <c r="A16" s="12"/>
      <c r="B16" s="13"/>
      <c r="C16" s="9"/>
      <c r="D16" s="9"/>
      <c r="E16" s="9"/>
      <c r="F16" s="9"/>
      <c r="G16" s="9"/>
      <c r="H16" s="9"/>
      <c r="I16" s="9"/>
      <c r="J16" s="9"/>
      <c r="K16" s="9"/>
      <c r="L16" s="10" t="str">
        <f t="shared" si="1"/>
        <v/>
      </c>
      <c r="M16" s="9"/>
      <c r="N16" s="9"/>
      <c r="O16" s="9"/>
      <c r="P16" s="9"/>
      <c r="Q16" s="9"/>
      <c r="R16" s="9"/>
      <c r="S16" s="9"/>
      <c r="T16" s="9"/>
      <c r="U16" s="9"/>
      <c r="V16" s="10" t="str">
        <f t="shared" si="2"/>
        <v/>
      </c>
      <c r="W16" s="11" t="str">
        <f t="shared" si="3"/>
        <v/>
      </c>
      <c r="X16" s="11" t="str">
        <f t="shared" si="4"/>
        <v/>
      </c>
      <c r="Y16"/>
      <c r="AB16" s="42"/>
      <c r="AC16" s="42"/>
      <c r="AD16" s="42" t="str">
        <f t="shared" si="0"/>
        <v/>
      </c>
    </row>
    <row r="17" spans="1:30" x14ac:dyDescent="0.25">
      <c r="A17" s="12"/>
      <c r="B17" s="13"/>
      <c r="C17" s="9"/>
      <c r="D17" s="9"/>
      <c r="E17" s="9"/>
      <c r="F17" s="9"/>
      <c r="G17" s="9"/>
      <c r="H17" s="9"/>
      <c r="I17" s="9"/>
      <c r="J17" s="9"/>
      <c r="K17" s="9"/>
      <c r="L17" s="10" t="str">
        <f t="shared" si="1"/>
        <v/>
      </c>
      <c r="M17" s="9"/>
      <c r="N17" s="9"/>
      <c r="O17" s="9"/>
      <c r="P17" s="9"/>
      <c r="Q17" s="9"/>
      <c r="R17" s="9"/>
      <c r="S17" s="9"/>
      <c r="T17" s="9"/>
      <c r="U17" s="9"/>
      <c r="V17" s="10" t="str">
        <f t="shared" si="2"/>
        <v/>
      </c>
      <c r="W17" s="11" t="str">
        <f t="shared" si="3"/>
        <v/>
      </c>
      <c r="X17" s="11" t="str">
        <f t="shared" si="4"/>
        <v/>
      </c>
      <c r="Y17"/>
      <c r="AB17" s="42"/>
      <c r="AC17" s="42"/>
      <c r="AD17" s="42" t="str">
        <f t="shared" si="0"/>
        <v/>
      </c>
    </row>
    <row r="18" spans="1:30" x14ac:dyDescent="0.25">
      <c r="A18" s="12"/>
      <c r="B18" s="13"/>
      <c r="C18" s="9"/>
      <c r="D18" s="9"/>
      <c r="E18" s="9"/>
      <c r="F18" s="9"/>
      <c r="G18" s="9"/>
      <c r="H18" s="9"/>
      <c r="I18" s="9"/>
      <c r="J18" s="9"/>
      <c r="K18" s="9"/>
      <c r="L18" s="10" t="str">
        <f t="shared" si="1"/>
        <v/>
      </c>
      <c r="M18" s="9"/>
      <c r="N18" s="9"/>
      <c r="O18" s="9"/>
      <c r="P18" s="9"/>
      <c r="Q18" s="9"/>
      <c r="R18" s="9"/>
      <c r="S18" s="9"/>
      <c r="T18" s="9"/>
      <c r="U18" s="9"/>
      <c r="V18" s="10" t="str">
        <f t="shared" si="2"/>
        <v/>
      </c>
      <c r="W18" s="11" t="str">
        <f t="shared" si="3"/>
        <v/>
      </c>
      <c r="X18" s="11" t="str">
        <f t="shared" si="4"/>
        <v/>
      </c>
      <c r="Y18"/>
      <c r="AB18" s="42"/>
      <c r="AC18" s="42"/>
      <c r="AD18" s="42" t="str">
        <f t="shared" si="0"/>
        <v/>
      </c>
    </row>
    <row r="19" spans="1:30" x14ac:dyDescent="0.25">
      <c r="A19" s="12"/>
      <c r="B19" s="13"/>
      <c r="C19" s="9"/>
      <c r="D19" s="9"/>
      <c r="E19" s="9"/>
      <c r="F19" s="9"/>
      <c r="G19" s="9"/>
      <c r="H19" s="9"/>
      <c r="I19" s="9"/>
      <c r="J19" s="9"/>
      <c r="K19" s="9"/>
      <c r="L19" s="10" t="str">
        <f t="shared" si="1"/>
        <v/>
      </c>
      <c r="M19" s="9"/>
      <c r="N19" s="9"/>
      <c r="O19" s="9"/>
      <c r="P19" s="9"/>
      <c r="Q19" s="9"/>
      <c r="R19" s="9"/>
      <c r="S19" s="9"/>
      <c r="T19" s="9"/>
      <c r="U19" s="9"/>
      <c r="V19" s="10" t="str">
        <f t="shared" si="2"/>
        <v/>
      </c>
      <c r="W19" s="11" t="str">
        <f t="shared" si="3"/>
        <v/>
      </c>
      <c r="X19" s="11" t="str">
        <f t="shared" si="4"/>
        <v/>
      </c>
      <c r="Y19"/>
      <c r="AB19" s="42"/>
      <c r="AC19" s="42"/>
      <c r="AD19" s="42" t="str">
        <f t="shared" si="0"/>
        <v/>
      </c>
    </row>
    <row r="20" spans="1:30" x14ac:dyDescent="0.25">
      <c r="A20" s="12"/>
      <c r="B20" s="13"/>
      <c r="C20" s="9"/>
      <c r="D20" s="9"/>
      <c r="E20" s="9"/>
      <c r="F20" s="9"/>
      <c r="G20" s="9"/>
      <c r="H20" s="9"/>
      <c r="I20" s="9"/>
      <c r="J20" s="9"/>
      <c r="K20" s="9"/>
      <c r="L20" s="10" t="str">
        <f t="shared" si="1"/>
        <v/>
      </c>
      <c r="M20" s="9"/>
      <c r="N20" s="9"/>
      <c r="O20" s="9"/>
      <c r="P20" s="9"/>
      <c r="Q20" s="9"/>
      <c r="R20" s="9"/>
      <c r="S20" s="9"/>
      <c r="T20" s="9"/>
      <c r="U20" s="9"/>
      <c r="V20" s="10" t="str">
        <f t="shared" si="2"/>
        <v/>
      </c>
      <c r="W20" s="11" t="str">
        <f t="shared" si="3"/>
        <v/>
      </c>
      <c r="X20" s="11" t="str">
        <f t="shared" si="4"/>
        <v/>
      </c>
      <c r="Y20"/>
      <c r="AB20" s="42"/>
      <c r="AC20" s="42"/>
      <c r="AD20" s="42" t="str">
        <f t="shared" si="0"/>
        <v/>
      </c>
    </row>
    <row r="21" spans="1:30" x14ac:dyDescent="0.25">
      <c r="A21" s="12"/>
      <c r="B21" s="13"/>
      <c r="C21" s="9"/>
      <c r="D21" s="9"/>
      <c r="E21" s="9"/>
      <c r="F21" s="9"/>
      <c r="G21" s="9"/>
      <c r="H21" s="9"/>
      <c r="I21" s="9"/>
      <c r="J21" s="9"/>
      <c r="K21" s="9"/>
      <c r="L21" s="10" t="str">
        <f t="shared" si="1"/>
        <v/>
      </c>
      <c r="M21" s="9"/>
      <c r="N21" s="9"/>
      <c r="O21" s="9"/>
      <c r="P21" s="9"/>
      <c r="Q21" s="9"/>
      <c r="R21" s="9"/>
      <c r="S21" s="9"/>
      <c r="T21" s="9"/>
      <c r="U21" s="9"/>
      <c r="V21" s="10" t="str">
        <f t="shared" si="2"/>
        <v/>
      </c>
      <c r="W21" s="11" t="str">
        <f t="shared" si="3"/>
        <v/>
      </c>
      <c r="X21" s="11" t="str">
        <f t="shared" si="4"/>
        <v/>
      </c>
      <c r="Y21"/>
      <c r="AB21" s="42"/>
      <c r="AC21" s="42"/>
      <c r="AD21" s="42" t="str">
        <f t="shared" si="0"/>
        <v/>
      </c>
    </row>
    <row r="22" spans="1:30" x14ac:dyDescent="0.25">
      <c r="A22" s="12"/>
      <c r="B22" s="13"/>
      <c r="C22" s="9"/>
      <c r="D22" s="9"/>
      <c r="E22" s="9"/>
      <c r="F22" s="9"/>
      <c r="G22" s="9"/>
      <c r="H22" s="9"/>
      <c r="I22" s="9"/>
      <c r="J22" s="9"/>
      <c r="K22" s="9"/>
      <c r="L22" s="10" t="str">
        <f t="shared" si="1"/>
        <v/>
      </c>
      <c r="M22" s="9"/>
      <c r="N22" s="9"/>
      <c r="O22" s="9"/>
      <c r="P22" s="9"/>
      <c r="Q22" s="9"/>
      <c r="R22" s="9"/>
      <c r="S22" s="9"/>
      <c r="T22" s="9"/>
      <c r="U22" s="9"/>
      <c r="V22" s="10" t="str">
        <f t="shared" si="2"/>
        <v/>
      </c>
      <c r="W22" s="11" t="str">
        <f t="shared" si="3"/>
        <v/>
      </c>
      <c r="X22" s="11" t="str">
        <f t="shared" si="4"/>
        <v/>
      </c>
      <c r="Y22"/>
      <c r="AB22" s="42"/>
      <c r="AC22" s="42"/>
      <c r="AD22" s="42" t="str">
        <f t="shared" si="0"/>
        <v/>
      </c>
    </row>
    <row r="23" spans="1:30" x14ac:dyDescent="0.25">
      <c r="A23" s="12"/>
      <c r="B23" s="13"/>
      <c r="C23" s="9"/>
      <c r="D23" s="9"/>
      <c r="E23" s="9"/>
      <c r="F23" s="9"/>
      <c r="G23" s="9"/>
      <c r="H23" s="9"/>
      <c r="I23" s="9"/>
      <c r="J23" s="9"/>
      <c r="K23" s="9"/>
      <c r="L23" s="10" t="str">
        <f t="shared" si="1"/>
        <v/>
      </c>
      <c r="M23" s="9"/>
      <c r="N23" s="9"/>
      <c r="O23" s="9"/>
      <c r="P23" s="9"/>
      <c r="Q23" s="9"/>
      <c r="R23" s="9"/>
      <c r="S23" s="9"/>
      <c r="T23" s="9"/>
      <c r="U23" s="9"/>
      <c r="V23" s="10" t="str">
        <f t="shared" si="2"/>
        <v/>
      </c>
      <c r="W23" s="11" t="str">
        <f t="shared" si="3"/>
        <v/>
      </c>
      <c r="X23" s="11" t="str">
        <f t="shared" si="4"/>
        <v/>
      </c>
      <c r="Y23"/>
      <c r="AB23" s="42"/>
      <c r="AC23" s="42"/>
      <c r="AD23" s="42" t="str">
        <f t="shared" si="0"/>
        <v/>
      </c>
    </row>
    <row r="24" spans="1:30" x14ac:dyDescent="0.25">
      <c r="A24" s="12"/>
      <c r="B24" s="13"/>
      <c r="C24" s="9"/>
      <c r="D24" s="9"/>
      <c r="E24" s="9"/>
      <c r="F24" s="9"/>
      <c r="G24" s="9"/>
      <c r="H24" s="9"/>
      <c r="I24" s="9"/>
      <c r="J24" s="9"/>
      <c r="K24" s="9"/>
      <c r="L24" s="10" t="str">
        <f t="shared" si="1"/>
        <v/>
      </c>
      <c r="M24" s="9"/>
      <c r="N24" s="9"/>
      <c r="O24" s="9"/>
      <c r="P24" s="9"/>
      <c r="Q24" s="9"/>
      <c r="R24" s="9"/>
      <c r="S24" s="9"/>
      <c r="T24" s="9"/>
      <c r="U24" s="9"/>
      <c r="V24" s="10" t="str">
        <f t="shared" si="2"/>
        <v/>
      </c>
      <c r="W24" s="11" t="str">
        <f t="shared" si="3"/>
        <v/>
      </c>
      <c r="X24" s="11" t="str">
        <f t="shared" si="4"/>
        <v/>
      </c>
      <c r="Y24"/>
      <c r="AB24" s="42"/>
      <c r="AC24" s="42"/>
      <c r="AD24" s="42" t="str">
        <f t="shared" si="0"/>
        <v/>
      </c>
    </row>
    <row r="25" spans="1:30" x14ac:dyDescent="0.25">
      <c r="A25" s="12"/>
      <c r="B25" s="13"/>
      <c r="C25" s="9"/>
      <c r="D25" s="9"/>
      <c r="E25" s="9"/>
      <c r="F25" s="9"/>
      <c r="G25" s="9"/>
      <c r="H25" s="9"/>
      <c r="I25" s="9"/>
      <c r="J25" s="9"/>
      <c r="K25" s="9"/>
      <c r="L25" s="10" t="str">
        <f t="shared" si="1"/>
        <v/>
      </c>
      <c r="M25" s="9"/>
      <c r="N25" s="9"/>
      <c r="O25" s="9"/>
      <c r="P25" s="9"/>
      <c r="Q25" s="9"/>
      <c r="R25" s="9"/>
      <c r="S25" s="9"/>
      <c r="T25" s="9"/>
      <c r="U25" s="9"/>
      <c r="V25" s="10" t="str">
        <f t="shared" si="2"/>
        <v/>
      </c>
      <c r="W25" s="11" t="str">
        <f t="shared" si="3"/>
        <v/>
      </c>
      <c r="X25" s="11" t="str">
        <f t="shared" si="4"/>
        <v/>
      </c>
      <c r="Y25"/>
      <c r="AB25" s="42"/>
      <c r="AC25" s="42"/>
      <c r="AD25" s="42" t="str">
        <f t="shared" si="0"/>
        <v/>
      </c>
    </row>
    <row r="26" spans="1:30" x14ac:dyDescent="0.25">
      <c r="A26" s="12"/>
      <c r="B26" s="13"/>
      <c r="C26" s="9"/>
      <c r="D26" s="9"/>
      <c r="E26" s="9"/>
      <c r="F26" s="9"/>
      <c r="G26" s="9"/>
      <c r="H26" s="9"/>
      <c r="I26" s="9"/>
      <c r="J26" s="9"/>
      <c r="K26" s="9"/>
      <c r="L26" s="10" t="str">
        <f t="shared" si="1"/>
        <v/>
      </c>
      <c r="M26" s="9"/>
      <c r="N26" s="9"/>
      <c r="O26" s="9"/>
      <c r="P26" s="9"/>
      <c r="Q26" s="9"/>
      <c r="R26" s="9"/>
      <c r="S26" s="9"/>
      <c r="T26" s="9"/>
      <c r="U26" s="9"/>
      <c r="V26" s="10" t="str">
        <f t="shared" si="2"/>
        <v/>
      </c>
      <c r="W26" s="11" t="str">
        <f t="shared" si="3"/>
        <v/>
      </c>
      <c r="X26" s="11" t="str">
        <f t="shared" si="4"/>
        <v/>
      </c>
      <c r="Y26"/>
      <c r="AB26" s="42"/>
      <c r="AC26" s="42"/>
      <c r="AD26" s="42" t="str">
        <f t="shared" si="0"/>
        <v/>
      </c>
    </row>
    <row r="27" spans="1:30" x14ac:dyDescent="0.25">
      <c r="A27" s="12"/>
      <c r="B27" s="13"/>
      <c r="C27" s="9"/>
      <c r="D27" s="9"/>
      <c r="E27" s="9"/>
      <c r="F27" s="9"/>
      <c r="G27" s="9"/>
      <c r="H27" s="9"/>
      <c r="I27" s="9"/>
      <c r="J27" s="9"/>
      <c r="K27" s="9"/>
      <c r="L27" s="10" t="str">
        <f t="shared" si="1"/>
        <v/>
      </c>
      <c r="M27" s="9"/>
      <c r="N27" s="9"/>
      <c r="O27" s="9"/>
      <c r="P27" s="9"/>
      <c r="Q27" s="9"/>
      <c r="R27" s="9"/>
      <c r="S27" s="9"/>
      <c r="T27" s="9"/>
      <c r="U27" s="9"/>
      <c r="V27" s="10" t="str">
        <f t="shared" si="2"/>
        <v/>
      </c>
      <c r="W27" s="11" t="str">
        <f t="shared" si="3"/>
        <v/>
      </c>
      <c r="X27" s="11" t="str">
        <f t="shared" si="4"/>
        <v/>
      </c>
      <c r="Y27"/>
      <c r="AB27" s="42"/>
      <c r="AC27" s="42"/>
      <c r="AD27" s="42" t="str">
        <f t="shared" si="0"/>
        <v/>
      </c>
    </row>
    <row r="28" spans="1:30" x14ac:dyDescent="0.25">
      <c r="A28" s="12"/>
      <c r="B28" s="13"/>
      <c r="C28" s="9"/>
      <c r="D28" s="9"/>
      <c r="E28" s="9"/>
      <c r="F28" s="9"/>
      <c r="G28" s="9"/>
      <c r="H28" s="9"/>
      <c r="I28" s="9"/>
      <c r="J28" s="9"/>
      <c r="K28" s="9"/>
      <c r="L28" s="10" t="str">
        <f t="shared" si="1"/>
        <v/>
      </c>
      <c r="M28" s="9"/>
      <c r="N28" s="9"/>
      <c r="O28" s="9"/>
      <c r="P28" s="9"/>
      <c r="Q28" s="9"/>
      <c r="R28" s="9"/>
      <c r="S28" s="9"/>
      <c r="T28" s="9"/>
      <c r="U28" s="9"/>
      <c r="V28" s="10" t="str">
        <f t="shared" si="2"/>
        <v/>
      </c>
      <c r="W28" s="11" t="str">
        <f t="shared" si="3"/>
        <v/>
      </c>
      <c r="X28" s="11" t="str">
        <f t="shared" si="4"/>
        <v/>
      </c>
      <c r="Y28"/>
      <c r="AB28" s="42"/>
      <c r="AC28" s="42"/>
      <c r="AD28" s="42" t="str">
        <f t="shared" si="0"/>
        <v/>
      </c>
    </row>
    <row r="29" spans="1:30" x14ac:dyDescent="0.25">
      <c r="A29" s="12"/>
      <c r="B29" s="13"/>
      <c r="C29" s="9"/>
      <c r="D29" s="9"/>
      <c r="E29" s="9"/>
      <c r="F29" s="9"/>
      <c r="G29" s="9"/>
      <c r="H29" s="9"/>
      <c r="I29" s="9"/>
      <c r="J29" s="9"/>
      <c r="K29" s="9"/>
      <c r="L29" s="10" t="str">
        <f t="shared" si="1"/>
        <v/>
      </c>
      <c r="M29" s="9"/>
      <c r="N29" s="9"/>
      <c r="O29" s="9"/>
      <c r="P29" s="9"/>
      <c r="Q29" s="9"/>
      <c r="R29" s="9"/>
      <c r="S29" s="9"/>
      <c r="T29" s="9"/>
      <c r="U29" s="9"/>
      <c r="V29" s="10" t="str">
        <f t="shared" si="2"/>
        <v/>
      </c>
      <c r="W29" s="11" t="str">
        <f t="shared" si="3"/>
        <v/>
      </c>
      <c r="X29" s="11" t="str">
        <f t="shared" si="4"/>
        <v/>
      </c>
      <c r="Y29"/>
      <c r="AB29" s="42"/>
      <c r="AC29" s="42"/>
      <c r="AD29" s="42" t="str">
        <f t="shared" si="0"/>
        <v/>
      </c>
    </row>
    <row r="30" spans="1:30" x14ac:dyDescent="0.25">
      <c r="A30" s="12"/>
      <c r="B30" s="13"/>
      <c r="C30" s="9"/>
      <c r="D30" s="9"/>
      <c r="E30" s="9"/>
      <c r="F30" s="9"/>
      <c r="G30" s="9"/>
      <c r="H30" s="9"/>
      <c r="I30" s="9"/>
      <c r="J30" s="9"/>
      <c r="K30" s="9"/>
      <c r="L30" s="10" t="str">
        <f t="shared" si="1"/>
        <v/>
      </c>
      <c r="M30" s="9"/>
      <c r="N30" s="9"/>
      <c r="O30" s="9"/>
      <c r="P30" s="9"/>
      <c r="Q30" s="9"/>
      <c r="R30" s="9"/>
      <c r="S30" s="9"/>
      <c r="T30" s="9"/>
      <c r="U30" s="9"/>
      <c r="V30" s="10" t="str">
        <f t="shared" si="2"/>
        <v/>
      </c>
      <c r="W30" s="11" t="str">
        <f t="shared" si="3"/>
        <v/>
      </c>
      <c r="X30" s="11" t="str">
        <f t="shared" si="4"/>
        <v/>
      </c>
      <c r="Y30"/>
      <c r="AB30" s="42"/>
      <c r="AC30" s="42"/>
      <c r="AD30" s="42" t="str">
        <f t="shared" si="0"/>
        <v/>
      </c>
    </row>
    <row r="31" spans="1:30" x14ac:dyDescent="0.25">
      <c r="A31" s="12"/>
      <c r="B31" s="13"/>
      <c r="C31" s="9"/>
      <c r="D31" s="9"/>
      <c r="E31" s="9"/>
      <c r="F31" s="9"/>
      <c r="G31" s="9"/>
      <c r="H31" s="9"/>
      <c r="I31" s="9"/>
      <c r="J31" s="9"/>
      <c r="K31" s="9"/>
      <c r="L31" s="10" t="str">
        <f t="shared" si="1"/>
        <v/>
      </c>
      <c r="M31" s="9"/>
      <c r="N31" s="9"/>
      <c r="O31" s="9"/>
      <c r="P31" s="9"/>
      <c r="Q31" s="9"/>
      <c r="R31" s="9"/>
      <c r="S31" s="9"/>
      <c r="T31" s="9"/>
      <c r="U31" s="9"/>
      <c r="V31" s="10" t="str">
        <f t="shared" si="2"/>
        <v/>
      </c>
      <c r="W31" s="11" t="str">
        <f t="shared" si="3"/>
        <v/>
      </c>
      <c r="X31" s="11" t="str">
        <f t="shared" si="4"/>
        <v/>
      </c>
      <c r="Y31"/>
      <c r="AB31" s="42"/>
      <c r="AC31" s="42"/>
      <c r="AD31" s="42" t="str">
        <f t="shared" si="0"/>
        <v/>
      </c>
    </row>
    <row r="32" spans="1:30" x14ac:dyDescent="0.25">
      <c r="A32" s="12"/>
      <c r="B32" s="13"/>
      <c r="C32" s="9"/>
      <c r="D32" s="9"/>
      <c r="E32" s="9"/>
      <c r="F32" s="9"/>
      <c r="G32" s="9"/>
      <c r="H32" s="9"/>
      <c r="I32" s="9"/>
      <c r="J32" s="9"/>
      <c r="K32" s="9"/>
      <c r="L32" s="10" t="str">
        <f t="shared" si="1"/>
        <v/>
      </c>
      <c r="M32" s="9"/>
      <c r="N32" s="9"/>
      <c r="O32" s="9"/>
      <c r="P32" s="9"/>
      <c r="Q32" s="9"/>
      <c r="R32" s="9"/>
      <c r="S32" s="9"/>
      <c r="T32" s="9"/>
      <c r="U32" s="9"/>
      <c r="V32" s="10" t="str">
        <f t="shared" si="2"/>
        <v/>
      </c>
      <c r="W32" s="11" t="str">
        <f t="shared" si="3"/>
        <v/>
      </c>
      <c r="X32" s="11" t="str">
        <f t="shared" si="4"/>
        <v/>
      </c>
      <c r="Y32"/>
      <c r="AB32" s="42"/>
      <c r="AC32" s="42"/>
      <c r="AD32" s="42" t="str">
        <f t="shared" si="0"/>
        <v/>
      </c>
    </row>
    <row r="33" spans="1:30" x14ac:dyDescent="0.25">
      <c r="A33" s="12"/>
      <c r="B33" s="13"/>
      <c r="C33" s="9"/>
      <c r="D33" s="9"/>
      <c r="E33" s="9"/>
      <c r="F33" s="9"/>
      <c r="G33" s="9"/>
      <c r="H33" s="9"/>
      <c r="I33" s="9"/>
      <c r="J33" s="9"/>
      <c r="K33" s="9"/>
      <c r="L33" s="10" t="str">
        <f t="shared" si="1"/>
        <v/>
      </c>
      <c r="M33" s="9"/>
      <c r="N33" s="9"/>
      <c r="O33" s="9"/>
      <c r="P33" s="9"/>
      <c r="Q33" s="9"/>
      <c r="R33" s="9"/>
      <c r="S33" s="9"/>
      <c r="T33" s="9"/>
      <c r="U33" s="9"/>
      <c r="V33" s="10" t="str">
        <f t="shared" si="2"/>
        <v/>
      </c>
      <c r="W33" s="11" t="str">
        <f t="shared" si="3"/>
        <v/>
      </c>
      <c r="X33" s="11" t="str">
        <f t="shared" si="4"/>
        <v/>
      </c>
      <c r="Y33"/>
      <c r="AB33" s="42"/>
      <c r="AC33" s="42"/>
      <c r="AD33" s="42" t="str">
        <f t="shared" si="0"/>
        <v/>
      </c>
    </row>
    <row r="34" spans="1:30" x14ac:dyDescent="0.25">
      <c r="A34" s="12"/>
      <c r="B34" s="13"/>
      <c r="C34" s="9"/>
      <c r="D34" s="9"/>
      <c r="E34" s="9"/>
      <c r="F34" s="9"/>
      <c r="G34" s="9"/>
      <c r="H34" s="9"/>
      <c r="I34" s="9"/>
      <c r="J34" s="9"/>
      <c r="K34" s="9"/>
      <c r="L34" s="10" t="str">
        <f t="shared" si="1"/>
        <v/>
      </c>
      <c r="M34" s="9"/>
      <c r="N34" s="9"/>
      <c r="O34" s="9"/>
      <c r="P34" s="9"/>
      <c r="Q34" s="9"/>
      <c r="R34" s="9"/>
      <c r="S34" s="9"/>
      <c r="T34" s="9"/>
      <c r="U34" s="9"/>
      <c r="V34" s="10" t="str">
        <f t="shared" si="2"/>
        <v/>
      </c>
      <c r="W34" s="11" t="str">
        <f t="shared" si="3"/>
        <v/>
      </c>
      <c r="X34" s="11" t="str">
        <f t="shared" si="4"/>
        <v/>
      </c>
      <c r="Y34"/>
      <c r="AB34" s="42"/>
      <c r="AC34" s="42"/>
      <c r="AD34" s="42" t="str">
        <f t="shared" si="0"/>
        <v/>
      </c>
    </row>
    <row r="35" spans="1:30" x14ac:dyDescent="0.25">
      <c r="A35" s="12"/>
      <c r="B35" s="13"/>
      <c r="C35" s="9"/>
      <c r="D35" s="9"/>
      <c r="E35" s="9"/>
      <c r="F35" s="9"/>
      <c r="G35" s="9"/>
      <c r="H35" s="9"/>
      <c r="I35" s="9"/>
      <c r="J35" s="9"/>
      <c r="K35" s="9"/>
      <c r="L35" s="10" t="str">
        <f t="shared" si="1"/>
        <v/>
      </c>
      <c r="M35" s="9"/>
      <c r="N35" s="9"/>
      <c r="O35" s="9"/>
      <c r="P35" s="9"/>
      <c r="Q35" s="9"/>
      <c r="R35" s="9"/>
      <c r="S35" s="9"/>
      <c r="T35" s="9"/>
      <c r="U35" s="9"/>
      <c r="V35" s="10" t="str">
        <f t="shared" si="2"/>
        <v/>
      </c>
      <c r="W35" s="11" t="str">
        <f t="shared" si="3"/>
        <v/>
      </c>
      <c r="X35" s="11" t="str">
        <f t="shared" si="4"/>
        <v/>
      </c>
      <c r="Y35"/>
      <c r="AB35" s="42"/>
      <c r="AC35" s="42"/>
      <c r="AD35" s="42" t="str">
        <f t="shared" si="0"/>
        <v/>
      </c>
    </row>
    <row r="36" spans="1:30" x14ac:dyDescent="0.25">
      <c r="A36" s="12"/>
      <c r="B36" s="13"/>
      <c r="C36" s="9"/>
      <c r="D36" s="9"/>
      <c r="E36" s="9"/>
      <c r="F36" s="9"/>
      <c r="G36" s="9"/>
      <c r="H36" s="9"/>
      <c r="I36" s="9"/>
      <c r="J36" s="9"/>
      <c r="K36" s="9"/>
      <c r="L36" s="10" t="str">
        <f t="shared" si="1"/>
        <v/>
      </c>
      <c r="M36" s="9"/>
      <c r="N36" s="9"/>
      <c r="O36" s="9"/>
      <c r="P36" s="9"/>
      <c r="Q36" s="9"/>
      <c r="R36" s="9"/>
      <c r="S36" s="9"/>
      <c r="T36" s="9"/>
      <c r="U36" s="9"/>
      <c r="V36" s="10" t="str">
        <f t="shared" si="2"/>
        <v/>
      </c>
      <c r="W36" s="11" t="str">
        <f t="shared" si="3"/>
        <v/>
      </c>
      <c r="X36" s="11" t="str">
        <f t="shared" si="4"/>
        <v/>
      </c>
      <c r="Y36"/>
      <c r="AB36" s="42"/>
      <c r="AC36" s="42"/>
      <c r="AD36" s="42" t="str">
        <f t="shared" si="0"/>
        <v/>
      </c>
    </row>
    <row r="37" spans="1:30" x14ac:dyDescent="0.25">
      <c r="A37" s="12"/>
      <c r="B37" s="13"/>
      <c r="C37" s="9"/>
      <c r="D37" s="9"/>
      <c r="E37" s="9"/>
      <c r="F37" s="9"/>
      <c r="G37" s="9"/>
      <c r="H37" s="9"/>
      <c r="I37" s="9"/>
      <c r="J37" s="9"/>
      <c r="K37" s="9"/>
      <c r="L37" s="10" t="str">
        <f t="shared" si="1"/>
        <v/>
      </c>
      <c r="M37" s="9"/>
      <c r="N37" s="9"/>
      <c r="O37" s="9"/>
      <c r="P37" s="9"/>
      <c r="Q37" s="9"/>
      <c r="R37" s="9"/>
      <c r="S37" s="9"/>
      <c r="T37" s="9"/>
      <c r="U37" s="9"/>
      <c r="V37" s="10" t="str">
        <f t="shared" si="2"/>
        <v/>
      </c>
      <c r="W37" s="11" t="str">
        <f t="shared" si="3"/>
        <v/>
      </c>
      <c r="X37" s="11" t="str">
        <f t="shared" si="4"/>
        <v/>
      </c>
      <c r="Y37"/>
      <c r="AB37" s="42"/>
      <c r="AC37" s="42"/>
      <c r="AD37" s="42" t="str">
        <f t="shared" si="0"/>
        <v/>
      </c>
    </row>
    <row r="38" spans="1:30" x14ac:dyDescent="0.25">
      <c r="A38" s="12"/>
      <c r="B38" s="13"/>
      <c r="C38" s="9"/>
      <c r="D38" s="9"/>
      <c r="E38" s="9"/>
      <c r="F38" s="9"/>
      <c r="G38" s="9"/>
      <c r="H38" s="9"/>
      <c r="I38" s="9"/>
      <c r="J38" s="9"/>
      <c r="K38" s="9"/>
      <c r="L38" s="10" t="str">
        <f t="shared" si="1"/>
        <v/>
      </c>
      <c r="M38" s="9"/>
      <c r="N38" s="9"/>
      <c r="O38" s="9"/>
      <c r="P38" s="9"/>
      <c r="Q38" s="9"/>
      <c r="R38" s="9"/>
      <c r="S38" s="9"/>
      <c r="T38" s="9"/>
      <c r="U38" s="9"/>
      <c r="V38" s="10" t="str">
        <f t="shared" si="2"/>
        <v/>
      </c>
      <c r="W38" s="11" t="str">
        <f t="shared" si="3"/>
        <v/>
      </c>
      <c r="X38" s="11" t="str">
        <f t="shared" si="4"/>
        <v/>
      </c>
      <c r="Y38"/>
      <c r="AB38" s="42"/>
      <c r="AC38" s="42"/>
      <c r="AD38" s="42" t="str">
        <f t="shared" si="0"/>
        <v/>
      </c>
    </row>
    <row r="39" spans="1:30" x14ac:dyDescent="0.25">
      <c r="A39" s="12"/>
      <c r="B39" s="13"/>
      <c r="C39" s="9"/>
      <c r="D39" s="9"/>
      <c r="E39" s="9"/>
      <c r="F39" s="9"/>
      <c r="G39" s="9"/>
      <c r="H39" s="9"/>
      <c r="I39" s="9"/>
      <c r="J39" s="9"/>
      <c r="K39" s="9"/>
      <c r="L39" s="10" t="str">
        <f t="shared" si="1"/>
        <v/>
      </c>
      <c r="M39" s="9"/>
      <c r="N39" s="9"/>
      <c r="O39" s="9"/>
      <c r="P39" s="9"/>
      <c r="Q39" s="9"/>
      <c r="R39" s="9"/>
      <c r="S39" s="9"/>
      <c r="T39" s="9"/>
      <c r="U39" s="9"/>
      <c r="V39" s="10" t="str">
        <f t="shared" si="2"/>
        <v/>
      </c>
      <c r="W39" s="11" t="str">
        <f t="shared" si="3"/>
        <v/>
      </c>
      <c r="X39" s="11" t="str">
        <f t="shared" si="4"/>
        <v/>
      </c>
      <c r="Y39"/>
      <c r="AB39" s="42"/>
      <c r="AC39" s="42"/>
      <c r="AD39" s="42" t="str">
        <f t="shared" si="0"/>
        <v/>
      </c>
    </row>
    <row r="40" spans="1:30" x14ac:dyDescent="0.25">
      <c r="A40" s="12"/>
      <c r="B40" s="13"/>
      <c r="C40" s="9"/>
      <c r="D40" s="9"/>
      <c r="E40" s="9"/>
      <c r="F40" s="9"/>
      <c r="G40" s="9"/>
      <c r="H40" s="9"/>
      <c r="I40" s="9"/>
      <c r="J40" s="9"/>
      <c r="K40" s="9"/>
      <c r="L40" s="10" t="str">
        <f t="shared" si="1"/>
        <v/>
      </c>
      <c r="M40" s="9"/>
      <c r="N40" s="9"/>
      <c r="O40" s="9"/>
      <c r="P40" s="9"/>
      <c r="Q40" s="9"/>
      <c r="R40" s="9"/>
      <c r="S40" s="9"/>
      <c r="T40" s="9"/>
      <c r="U40" s="9"/>
      <c r="V40" s="10" t="str">
        <f t="shared" si="2"/>
        <v/>
      </c>
      <c r="W40" s="11" t="str">
        <f t="shared" si="3"/>
        <v/>
      </c>
      <c r="X40" s="11" t="str">
        <f t="shared" si="4"/>
        <v/>
      </c>
      <c r="Y40"/>
      <c r="AB40" s="42"/>
      <c r="AC40" s="42"/>
      <c r="AD40" s="42" t="str">
        <f t="shared" si="0"/>
        <v/>
      </c>
    </row>
    <row r="41" spans="1:30" x14ac:dyDescent="0.25">
      <c r="A41" s="12"/>
      <c r="B41" s="13"/>
      <c r="C41" s="9"/>
      <c r="D41" s="9"/>
      <c r="E41" s="9"/>
      <c r="F41" s="9"/>
      <c r="G41" s="9"/>
      <c r="H41" s="9"/>
      <c r="I41" s="9"/>
      <c r="J41" s="9"/>
      <c r="K41" s="9"/>
      <c r="L41" s="10" t="str">
        <f t="shared" si="1"/>
        <v/>
      </c>
      <c r="M41" s="9"/>
      <c r="N41" s="9"/>
      <c r="O41" s="9"/>
      <c r="P41" s="9"/>
      <c r="Q41" s="9"/>
      <c r="R41" s="9"/>
      <c r="S41" s="9"/>
      <c r="T41" s="9"/>
      <c r="U41" s="9"/>
      <c r="V41" s="10" t="str">
        <f t="shared" si="2"/>
        <v/>
      </c>
      <c r="W41" s="11" t="str">
        <f t="shared" si="3"/>
        <v/>
      </c>
      <c r="X41" s="11" t="str">
        <f t="shared" si="4"/>
        <v/>
      </c>
      <c r="Y41"/>
      <c r="AB41" s="42"/>
      <c r="AC41" s="42"/>
      <c r="AD41" s="42" t="str">
        <f t="shared" si="0"/>
        <v/>
      </c>
    </row>
    <row r="42" spans="1:30" x14ac:dyDescent="0.25">
      <c r="A42" s="12"/>
      <c r="B42" s="13"/>
      <c r="C42" s="9"/>
      <c r="D42" s="9"/>
      <c r="E42" s="9"/>
      <c r="F42" s="9"/>
      <c r="G42" s="9"/>
      <c r="H42" s="9"/>
      <c r="I42" s="9"/>
      <c r="J42" s="9"/>
      <c r="K42" s="9"/>
      <c r="L42" s="10" t="str">
        <f t="shared" si="1"/>
        <v/>
      </c>
      <c r="M42" s="9"/>
      <c r="N42" s="9"/>
      <c r="O42" s="9"/>
      <c r="P42" s="9"/>
      <c r="Q42" s="9"/>
      <c r="R42" s="9"/>
      <c r="S42" s="9"/>
      <c r="T42" s="9"/>
      <c r="U42" s="9"/>
      <c r="V42" s="10" t="str">
        <f t="shared" si="2"/>
        <v/>
      </c>
      <c r="W42" s="11" t="str">
        <f t="shared" si="3"/>
        <v/>
      </c>
      <c r="X42" s="11" t="str">
        <f t="shared" si="4"/>
        <v/>
      </c>
      <c r="Y42"/>
      <c r="AB42" s="42"/>
      <c r="AC42" s="42"/>
      <c r="AD42" s="42" t="str">
        <f t="shared" si="0"/>
        <v/>
      </c>
    </row>
    <row r="43" spans="1:30" x14ac:dyDescent="0.25">
      <c r="A43" s="12"/>
      <c r="B43" s="13"/>
      <c r="C43" s="9"/>
      <c r="D43" s="9"/>
      <c r="E43" s="9"/>
      <c r="F43" s="9"/>
      <c r="G43" s="9"/>
      <c r="H43" s="9"/>
      <c r="I43" s="9"/>
      <c r="J43" s="9"/>
      <c r="K43" s="9"/>
      <c r="L43" s="10" t="str">
        <f t="shared" ref="L43:L60" si="5">IF(C43&lt;&gt;"",SUM(C43:K43),"")</f>
        <v/>
      </c>
      <c r="M43" s="9"/>
      <c r="N43" s="9"/>
      <c r="O43" s="9"/>
      <c r="P43" s="9"/>
      <c r="Q43" s="9"/>
      <c r="R43" s="9"/>
      <c r="S43" s="9"/>
      <c r="T43" s="9"/>
      <c r="U43" s="9"/>
      <c r="V43" s="10" t="str">
        <f t="shared" si="2"/>
        <v/>
      </c>
      <c r="W43" s="11" t="str">
        <f t="shared" si="3"/>
        <v/>
      </c>
      <c r="X43" s="11" t="str">
        <f t="shared" si="4"/>
        <v/>
      </c>
      <c r="Y43"/>
      <c r="AB43" s="42"/>
      <c r="AC43" s="42"/>
      <c r="AD43" s="42" t="str">
        <f t="shared" si="0"/>
        <v/>
      </c>
    </row>
    <row r="44" spans="1:30" x14ac:dyDescent="0.25">
      <c r="A44" s="12"/>
      <c r="B44" s="13"/>
      <c r="C44" s="9"/>
      <c r="D44" s="9"/>
      <c r="E44" s="9"/>
      <c r="F44" s="9"/>
      <c r="G44" s="9"/>
      <c r="H44" s="9"/>
      <c r="I44" s="9"/>
      <c r="J44" s="9"/>
      <c r="K44" s="9"/>
      <c r="L44" s="10" t="str">
        <f t="shared" si="5"/>
        <v/>
      </c>
      <c r="M44" s="9"/>
      <c r="N44" s="9"/>
      <c r="O44" s="9"/>
      <c r="P44" s="9"/>
      <c r="Q44" s="9"/>
      <c r="R44" s="9"/>
      <c r="S44" s="9"/>
      <c r="T44" s="9"/>
      <c r="U44" s="9"/>
      <c r="V44" s="10" t="str">
        <f t="shared" si="2"/>
        <v/>
      </c>
      <c r="W44" s="11" t="str">
        <f t="shared" si="3"/>
        <v/>
      </c>
      <c r="X44" s="11" t="str">
        <f t="shared" si="4"/>
        <v/>
      </c>
      <c r="Y44"/>
      <c r="AB44" s="42"/>
      <c r="AC44" s="42"/>
      <c r="AD44" s="42" t="str">
        <f t="shared" si="0"/>
        <v/>
      </c>
    </row>
    <row r="45" spans="1:30" x14ac:dyDescent="0.25">
      <c r="A45" s="12"/>
      <c r="B45" s="13"/>
      <c r="C45" s="9"/>
      <c r="D45" s="9"/>
      <c r="E45" s="9"/>
      <c r="F45" s="9"/>
      <c r="G45" s="9"/>
      <c r="H45" s="9"/>
      <c r="I45" s="9"/>
      <c r="J45" s="9"/>
      <c r="K45" s="9"/>
      <c r="L45" s="10" t="str">
        <f t="shared" si="5"/>
        <v/>
      </c>
      <c r="M45" s="9"/>
      <c r="N45" s="9"/>
      <c r="O45" s="9"/>
      <c r="P45" s="9"/>
      <c r="Q45" s="9"/>
      <c r="R45" s="9"/>
      <c r="S45" s="9"/>
      <c r="T45" s="9"/>
      <c r="U45" s="9"/>
      <c r="V45" s="10" t="str">
        <f t="shared" si="2"/>
        <v/>
      </c>
      <c r="W45" s="11" t="str">
        <f t="shared" si="3"/>
        <v/>
      </c>
      <c r="X45" s="11" t="str">
        <f t="shared" si="4"/>
        <v/>
      </c>
      <c r="Y45"/>
      <c r="AB45" s="42"/>
      <c r="AC45" s="42"/>
      <c r="AD45" s="42" t="str">
        <f t="shared" si="0"/>
        <v/>
      </c>
    </row>
    <row r="46" spans="1:30" x14ac:dyDescent="0.25">
      <c r="A46" s="12"/>
      <c r="B46" s="13"/>
      <c r="C46" s="9"/>
      <c r="D46" s="9"/>
      <c r="E46" s="9"/>
      <c r="F46" s="9"/>
      <c r="G46" s="9"/>
      <c r="H46" s="9"/>
      <c r="I46" s="9"/>
      <c r="J46" s="9"/>
      <c r="K46" s="9"/>
      <c r="L46" s="10" t="str">
        <f t="shared" si="5"/>
        <v/>
      </c>
      <c r="M46" s="9"/>
      <c r="N46" s="9"/>
      <c r="O46" s="9"/>
      <c r="P46" s="9"/>
      <c r="Q46" s="9"/>
      <c r="R46" s="9"/>
      <c r="S46" s="9"/>
      <c r="T46" s="9"/>
      <c r="U46" s="9"/>
      <c r="V46" s="10" t="str">
        <f t="shared" si="2"/>
        <v/>
      </c>
      <c r="W46" s="11" t="str">
        <f t="shared" si="3"/>
        <v/>
      </c>
      <c r="X46" s="11" t="str">
        <f t="shared" si="4"/>
        <v/>
      </c>
      <c r="Y46"/>
      <c r="AB46" s="42"/>
      <c r="AC46" s="42"/>
      <c r="AD46" s="42" t="str">
        <f t="shared" si="0"/>
        <v/>
      </c>
    </row>
    <row r="47" spans="1:30" x14ac:dyDescent="0.25">
      <c r="A47" s="12"/>
      <c r="B47" s="13"/>
      <c r="C47" s="9"/>
      <c r="D47" s="9"/>
      <c r="E47" s="9"/>
      <c r="F47" s="9"/>
      <c r="G47" s="9"/>
      <c r="H47" s="9"/>
      <c r="I47" s="9"/>
      <c r="J47" s="9"/>
      <c r="K47" s="9"/>
      <c r="L47" s="10" t="str">
        <f t="shared" si="5"/>
        <v/>
      </c>
      <c r="M47" s="9"/>
      <c r="N47" s="9"/>
      <c r="O47" s="9"/>
      <c r="P47" s="9"/>
      <c r="Q47" s="9"/>
      <c r="R47" s="9"/>
      <c r="S47" s="9"/>
      <c r="T47" s="9"/>
      <c r="U47" s="9"/>
      <c r="V47" s="10" t="str">
        <f t="shared" si="2"/>
        <v/>
      </c>
      <c r="W47" s="11" t="str">
        <f t="shared" si="3"/>
        <v/>
      </c>
      <c r="X47" s="11" t="str">
        <f t="shared" si="4"/>
        <v/>
      </c>
      <c r="Y47"/>
      <c r="AB47" s="42"/>
      <c r="AC47" s="42"/>
      <c r="AD47" s="42" t="str">
        <f t="shared" si="0"/>
        <v/>
      </c>
    </row>
    <row r="48" spans="1:30" x14ac:dyDescent="0.25">
      <c r="A48" s="12"/>
      <c r="B48" s="13"/>
      <c r="C48" s="9"/>
      <c r="D48" s="9"/>
      <c r="E48" s="9"/>
      <c r="F48" s="9"/>
      <c r="G48" s="9"/>
      <c r="H48" s="9"/>
      <c r="I48" s="9"/>
      <c r="J48" s="9"/>
      <c r="K48" s="9"/>
      <c r="L48" s="10" t="str">
        <f t="shared" si="5"/>
        <v/>
      </c>
      <c r="M48" s="9"/>
      <c r="N48" s="9"/>
      <c r="O48" s="9"/>
      <c r="P48" s="9"/>
      <c r="Q48" s="9"/>
      <c r="R48" s="9"/>
      <c r="S48" s="9"/>
      <c r="T48" s="9"/>
      <c r="U48" s="9"/>
      <c r="V48" s="10" t="str">
        <f t="shared" si="2"/>
        <v/>
      </c>
      <c r="W48" s="11" t="str">
        <f t="shared" si="3"/>
        <v/>
      </c>
      <c r="X48" s="11" t="str">
        <f t="shared" si="4"/>
        <v/>
      </c>
      <c r="Y48"/>
      <c r="AB48" s="42"/>
      <c r="AC48" s="42"/>
      <c r="AD48" s="42" t="str">
        <f t="shared" si="0"/>
        <v/>
      </c>
    </row>
    <row r="49" spans="1:30" x14ac:dyDescent="0.25">
      <c r="A49" s="12"/>
      <c r="B49" s="13"/>
      <c r="C49" s="9"/>
      <c r="D49" s="9"/>
      <c r="E49" s="9"/>
      <c r="F49" s="9"/>
      <c r="G49" s="9"/>
      <c r="H49" s="9"/>
      <c r="I49" s="9"/>
      <c r="J49" s="9"/>
      <c r="K49" s="9"/>
      <c r="L49" s="10" t="str">
        <f t="shared" si="5"/>
        <v/>
      </c>
      <c r="M49" s="9"/>
      <c r="N49" s="9"/>
      <c r="O49" s="9"/>
      <c r="P49" s="9"/>
      <c r="Q49" s="9"/>
      <c r="R49" s="9"/>
      <c r="S49" s="9"/>
      <c r="T49" s="9"/>
      <c r="U49" s="9"/>
      <c r="V49" s="10" t="str">
        <f t="shared" si="2"/>
        <v/>
      </c>
      <c r="W49" s="11" t="str">
        <f t="shared" si="3"/>
        <v/>
      </c>
      <c r="X49" s="11" t="str">
        <f t="shared" si="4"/>
        <v/>
      </c>
      <c r="Y49"/>
      <c r="AB49" s="42"/>
      <c r="AC49" s="42"/>
      <c r="AD49" s="42" t="str">
        <f t="shared" si="0"/>
        <v/>
      </c>
    </row>
    <row r="50" spans="1:30" x14ac:dyDescent="0.25">
      <c r="A50" s="12"/>
      <c r="B50" s="13"/>
      <c r="C50" s="9"/>
      <c r="D50" s="9"/>
      <c r="E50" s="9"/>
      <c r="F50" s="9"/>
      <c r="G50" s="9"/>
      <c r="H50" s="9"/>
      <c r="I50" s="9"/>
      <c r="J50" s="9"/>
      <c r="K50" s="9"/>
      <c r="L50" s="10" t="str">
        <f t="shared" si="5"/>
        <v/>
      </c>
      <c r="M50" s="9"/>
      <c r="N50" s="9"/>
      <c r="O50" s="9"/>
      <c r="P50" s="9"/>
      <c r="Q50" s="9"/>
      <c r="R50" s="9"/>
      <c r="S50" s="9"/>
      <c r="T50" s="9"/>
      <c r="U50" s="9"/>
      <c r="V50" s="10" t="str">
        <f t="shared" si="2"/>
        <v/>
      </c>
      <c r="W50" s="11" t="str">
        <f t="shared" si="3"/>
        <v/>
      </c>
      <c r="X50" s="11" t="str">
        <f t="shared" si="4"/>
        <v/>
      </c>
      <c r="Y50"/>
      <c r="AB50" s="42"/>
      <c r="AC50" s="42"/>
      <c r="AD50" s="42" t="str">
        <f t="shared" si="0"/>
        <v/>
      </c>
    </row>
    <row r="51" spans="1:30" x14ac:dyDescent="0.25">
      <c r="A51" s="12"/>
      <c r="B51" s="13"/>
      <c r="C51" s="9"/>
      <c r="D51" s="9"/>
      <c r="E51" s="9"/>
      <c r="F51" s="9"/>
      <c r="G51" s="9"/>
      <c r="H51" s="9"/>
      <c r="I51" s="9"/>
      <c r="J51" s="9"/>
      <c r="K51" s="9"/>
      <c r="L51" s="10" t="str">
        <f t="shared" si="5"/>
        <v/>
      </c>
      <c r="M51" s="9"/>
      <c r="N51" s="9"/>
      <c r="O51" s="9"/>
      <c r="P51" s="9"/>
      <c r="Q51" s="9"/>
      <c r="R51" s="9"/>
      <c r="S51" s="9"/>
      <c r="T51" s="9"/>
      <c r="U51" s="9"/>
      <c r="V51" s="10" t="str">
        <f t="shared" si="2"/>
        <v/>
      </c>
      <c r="W51" s="11" t="str">
        <f t="shared" si="3"/>
        <v/>
      </c>
      <c r="X51" s="11" t="str">
        <f t="shared" si="4"/>
        <v/>
      </c>
      <c r="Y51"/>
      <c r="AB51" s="42"/>
      <c r="AC51" s="42"/>
      <c r="AD51" s="42" t="str">
        <f t="shared" si="0"/>
        <v/>
      </c>
    </row>
    <row r="52" spans="1:30" x14ac:dyDescent="0.25">
      <c r="A52" s="12"/>
      <c r="B52" s="13"/>
      <c r="C52" s="9"/>
      <c r="D52" s="9"/>
      <c r="E52" s="9"/>
      <c r="F52" s="9"/>
      <c r="G52" s="9"/>
      <c r="H52" s="9"/>
      <c r="I52" s="9"/>
      <c r="J52" s="9"/>
      <c r="K52" s="9"/>
      <c r="L52" s="10" t="str">
        <f t="shared" si="5"/>
        <v/>
      </c>
      <c r="M52" s="9"/>
      <c r="N52" s="9"/>
      <c r="O52" s="9"/>
      <c r="P52" s="9"/>
      <c r="Q52" s="9"/>
      <c r="R52" s="9"/>
      <c r="S52" s="9"/>
      <c r="T52" s="9"/>
      <c r="U52" s="9"/>
      <c r="V52" s="10" t="str">
        <f t="shared" si="2"/>
        <v/>
      </c>
      <c r="W52" s="11" t="str">
        <f t="shared" si="3"/>
        <v/>
      </c>
      <c r="X52" s="11" t="str">
        <f t="shared" si="4"/>
        <v/>
      </c>
      <c r="Y52"/>
      <c r="AB52" s="42"/>
      <c r="AC52" s="42"/>
      <c r="AD52" s="42" t="str">
        <f t="shared" si="0"/>
        <v/>
      </c>
    </row>
    <row r="53" spans="1:30" x14ac:dyDescent="0.25">
      <c r="A53" s="12"/>
      <c r="B53" s="13"/>
      <c r="C53" s="9"/>
      <c r="D53" s="9"/>
      <c r="E53" s="9"/>
      <c r="F53" s="9"/>
      <c r="G53" s="9"/>
      <c r="H53" s="9"/>
      <c r="I53" s="9"/>
      <c r="J53" s="9"/>
      <c r="K53" s="9"/>
      <c r="L53" s="10" t="str">
        <f t="shared" si="5"/>
        <v/>
      </c>
      <c r="M53" s="9"/>
      <c r="N53" s="9"/>
      <c r="O53" s="9"/>
      <c r="P53" s="9"/>
      <c r="Q53" s="9"/>
      <c r="R53" s="9"/>
      <c r="S53" s="9"/>
      <c r="T53" s="9"/>
      <c r="U53" s="9"/>
      <c r="V53" s="10" t="str">
        <f t="shared" si="2"/>
        <v/>
      </c>
      <c r="W53" s="11" t="str">
        <f t="shared" si="3"/>
        <v/>
      </c>
      <c r="X53" s="11" t="str">
        <f t="shared" si="4"/>
        <v/>
      </c>
      <c r="Y53"/>
      <c r="AB53" s="42"/>
      <c r="AC53" s="42"/>
      <c r="AD53" s="42" t="str">
        <f t="shared" si="0"/>
        <v/>
      </c>
    </row>
    <row r="54" spans="1:30" x14ac:dyDescent="0.25">
      <c r="A54" s="12"/>
      <c r="B54" s="13"/>
      <c r="C54" s="9"/>
      <c r="D54" s="9"/>
      <c r="E54" s="9"/>
      <c r="F54" s="9"/>
      <c r="G54" s="9"/>
      <c r="H54" s="9"/>
      <c r="I54" s="9"/>
      <c r="J54" s="9"/>
      <c r="K54" s="9"/>
      <c r="L54" s="10" t="str">
        <f t="shared" si="5"/>
        <v/>
      </c>
      <c r="M54" s="9"/>
      <c r="N54" s="9"/>
      <c r="O54" s="9"/>
      <c r="P54" s="9"/>
      <c r="Q54" s="9"/>
      <c r="R54" s="9"/>
      <c r="S54" s="9"/>
      <c r="T54" s="9"/>
      <c r="U54" s="9"/>
      <c r="V54" s="10" t="str">
        <f t="shared" si="2"/>
        <v/>
      </c>
      <c r="W54" s="11" t="str">
        <f t="shared" si="3"/>
        <v/>
      </c>
      <c r="X54" s="11" t="str">
        <f t="shared" si="4"/>
        <v/>
      </c>
      <c r="Y54"/>
      <c r="AB54" s="42"/>
      <c r="AC54" s="42"/>
      <c r="AD54" s="42" t="str">
        <f t="shared" si="0"/>
        <v/>
      </c>
    </row>
    <row r="55" spans="1:30" x14ac:dyDescent="0.25">
      <c r="A55" s="12"/>
      <c r="B55" s="13"/>
      <c r="C55" s="9"/>
      <c r="D55" s="9"/>
      <c r="E55" s="9"/>
      <c r="F55" s="9"/>
      <c r="G55" s="9"/>
      <c r="H55" s="9"/>
      <c r="I55" s="9"/>
      <c r="J55" s="9"/>
      <c r="K55" s="9"/>
      <c r="L55" s="10" t="str">
        <f t="shared" si="5"/>
        <v/>
      </c>
      <c r="M55" s="9"/>
      <c r="N55" s="9"/>
      <c r="O55" s="9"/>
      <c r="P55" s="9"/>
      <c r="Q55" s="9"/>
      <c r="R55" s="9"/>
      <c r="S55" s="9"/>
      <c r="T55" s="9"/>
      <c r="U55" s="9"/>
      <c r="V55" s="10" t="str">
        <f t="shared" si="2"/>
        <v/>
      </c>
      <c r="W55" s="11" t="str">
        <f t="shared" si="3"/>
        <v/>
      </c>
      <c r="X55" s="11" t="str">
        <f t="shared" si="4"/>
        <v/>
      </c>
      <c r="Y55"/>
      <c r="AB55" s="42"/>
      <c r="AC55" s="42"/>
      <c r="AD55" s="42" t="str">
        <f t="shared" si="0"/>
        <v/>
      </c>
    </row>
    <row r="56" spans="1:30" x14ac:dyDescent="0.25">
      <c r="A56" s="12"/>
      <c r="B56" s="13"/>
      <c r="C56" s="9"/>
      <c r="D56" s="9"/>
      <c r="E56" s="9"/>
      <c r="F56" s="9"/>
      <c r="G56" s="9"/>
      <c r="H56" s="9"/>
      <c r="I56" s="9"/>
      <c r="J56" s="9"/>
      <c r="K56" s="9"/>
      <c r="L56" s="10" t="str">
        <f t="shared" si="5"/>
        <v/>
      </c>
      <c r="M56" s="9"/>
      <c r="N56" s="9"/>
      <c r="O56" s="9"/>
      <c r="P56" s="9"/>
      <c r="Q56" s="9"/>
      <c r="R56" s="9"/>
      <c r="S56" s="9"/>
      <c r="T56" s="9"/>
      <c r="U56" s="9"/>
      <c r="V56" s="10" t="str">
        <f t="shared" si="2"/>
        <v/>
      </c>
      <c r="W56" s="11" t="str">
        <f t="shared" si="3"/>
        <v/>
      </c>
      <c r="X56" s="11" t="str">
        <f t="shared" si="4"/>
        <v/>
      </c>
      <c r="Y56"/>
      <c r="AB56" s="42"/>
      <c r="AC56" s="42"/>
      <c r="AD56" s="42" t="str">
        <f t="shared" si="0"/>
        <v/>
      </c>
    </row>
    <row r="57" spans="1:30" x14ac:dyDescent="0.25">
      <c r="A57" s="12"/>
      <c r="B57" s="13"/>
      <c r="C57" s="9"/>
      <c r="D57" s="9"/>
      <c r="E57" s="9"/>
      <c r="F57" s="9"/>
      <c r="G57" s="9"/>
      <c r="H57" s="9"/>
      <c r="I57" s="9"/>
      <c r="J57" s="9"/>
      <c r="K57" s="9"/>
      <c r="L57" s="10" t="str">
        <f t="shared" si="5"/>
        <v/>
      </c>
      <c r="M57" s="9"/>
      <c r="N57" s="9"/>
      <c r="O57" s="9"/>
      <c r="P57" s="9"/>
      <c r="Q57" s="9"/>
      <c r="R57" s="9"/>
      <c r="S57" s="9"/>
      <c r="T57" s="9"/>
      <c r="U57" s="9"/>
      <c r="V57" s="10" t="str">
        <f t="shared" si="2"/>
        <v/>
      </c>
      <c r="W57" s="11" t="str">
        <f t="shared" si="3"/>
        <v/>
      </c>
      <c r="X57" s="11" t="str">
        <f t="shared" si="4"/>
        <v/>
      </c>
      <c r="Y57"/>
      <c r="AB57" s="42"/>
      <c r="AC57" s="42"/>
      <c r="AD57" s="42" t="str">
        <f t="shared" si="0"/>
        <v/>
      </c>
    </row>
    <row r="58" spans="1:30" x14ac:dyDescent="0.25">
      <c r="A58" s="12"/>
      <c r="B58" s="13"/>
      <c r="C58" s="9"/>
      <c r="D58" s="9"/>
      <c r="E58" s="9"/>
      <c r="F58" s="9"/>
      <c r="G58" s="9"/>
      <c r="H58" s="9"/>
      <c r="I58" s="9"/>
      <c r="J58" s="9"/>
      <c r="K58" s="9"/>
      <c r="L58" s="10" t="str">
        <f t="shared" si="5"/>
        <v/>
      </c>
      <c r="M58" s="9"/>
      <c r="N58" s="9"/>
      <c r="O58" s="9"/>
      <c r="P58" s="9"/>
      <c r="Q58" s="9"/>
      <c r="R58" s="9"/>
      <c r="S58" s="9"/>
      <c r="T58" s="9"/>
      <c r="U58" s="9"/>
      <c r="V58" s="10" t="str">
        <f t="shared" si="2"/>
        <v/>
      </c>
      <c r="W58" s="11" t="str">
        <f t="shared" si="3"/>
        <v/>
      </c>
      <c r="X58" s="11" t="str">
        <f t="shared" si="4"/>
        <v/>
      </c>
      <c r="Y58"/>
      <c r="AB58" s="42"/>
      <c r="AC58" s="42"/>
      <c r="AD58" s="42" t="str">
        <f t="shared" si="0"/>
        <v/>
      </c>
    </row>
    <row r="59" spans="1:30" x14ac:dyDescent="0.25">
      <c r="A59" s="12"/>
      <c r="B59" s="13"/>
      <c r="C59" s="9"/>
      <c r="D59" s="9"/>
      <c r="E59" s="9"/>
      <c r="F59" s="9"/>
      <c r="G59" s="9"/>
      <c r="H59" s="9"/>
      <c r="I59" s="9"/>
      <c r="J59" s="9"/>
      <c r="K59" s="9"/>
      <c r="L59" s="10" t="str">
        <f t="shared" si="5"/>
        <v/>
      </c>
      <c r="M59" s="9"/>
      <c r="N59" s="9"/>
      <c r="O59" s="9"/>
      <c r="P59" s="9"/>
      <c r="Q59" s="9"/>
      <c r="R59" s="9"/>
      <c r="S59" s="9"/>
      <c r="T59" s="9"/>
      <c r="U59" s="9"/>
      <c r="V59" s="10" t="str">
        <f t="shared" si="2"/>
        <v/>
      </c>
      <c r="W59" s="11" t="str">
        <f t="shared" si="3"/>
        <v/>
      </c>
      <c r="X59" s="11" t="str">
        <f t="shared" si="4"/>
        <v/>
      </c>
      <c r="Y59"/>
      <c r="AB59" s="42"/>
      <c r="AC59" s="42"/>
      <c r="AD59" s="42" t="str">
        <f t="shared" si="0"/>
        <v/>
      </c>
    </row>
    <row r="60" spans="1:30" x14ac:dyDescent="0.25">
      <c r="A60" s="45"/>
      <c r="B60" s="14"/>
      <c r="C60" s="15"/>
      <c r="D60" s="15"/>
      <c r="E60" s="15"/>
      <c r="F60" s="15"/>
      <c r="G60" s="15"/>
      <c r="H60" s="15"/>
      <c r="I60" s="15"/>
      <c r="J60" s="15"/>
      <c r="K60" s="15"/>
      <c r="L60" s="16" t="str">
        <f t="shared" si="5"/>
        <v/>
      </c>
      <c r="M60" s="15"/>
      <c r="N60" s="15"/>
      <c r="O60" s="15"/>
      <c r="P60" s="15"/>
      <c r="Q60" s="15"/>
      <c r="R60" s="15"/>
      <c r="S60" s="15"/>
      <c r="T60" s="15"/>
      <c r="U60" s="15"/>
      <c r="V60" s="16" t="str">
        <f t="shared" si="2"/>
        <v/>
      </c>
      <c r="W60" s="17" t="str">
        <f t="shared" si="3"/>
        <v/>
      </c>
      <c r="X60" s="17" t="str">
        <f t="shared" si="4"/>
        <v/>
      </c>
      <c r="Y60"/>
      <c r="AB60" s="42"/>
      <c r="AC60" s="42"/>
      <c r="AD60" s="42" t="str">
        <f t="shared" si="0"/>
        <v/>
      </c>
    </row>
  </sheetData>
  <sheetProtection sheet="1" objects="1" scenarios="1" selectLockedCells="1"/>
  <mergeCells count="47">
    <mergeCell ref="B1:C1"/>
    <mergeCell ref="D1:E1"/>
    <mergeCell ref="G1:L1"/>
    <mergeCell ref="M1:N1"/>
    <mergeCell ref="P1:V1"/>
    <mergeCell ref="R2:S2"/>
    <mergeCell ref="T2:U2"/>
    <mergeCell ref="B3:C3"/>
    <mergeCell ref="D3:E3"/>
    <mergeCell ref="G3:L3"/>
    <mergeCell ref="M3:N3"/>
    <mergeCell ref="P3:Q3"/>
    <mergeCell ref="R3:S3"/>
    <mergeCell ref="T3:U3"/>
    <mergeCell ref="B2:C2"/>
    <mergeCell ref="D2:E2"/>
    <mergeCell ref="G2:L2"/>
    <mergeCell ref="M2:N2"/>
    <mergeCell ref="P2:Q2"/>
    <mergeCell ref="T4:U4"/>
    <mergeCell ref="B5:C5"/>
    <mergeCell ref="D5:E5"/>
    <mergeCell ref="G5:L5"/>
    <mergeCell ref="M5:N5"/>
    <mergeCell ref="P5:Q5"/>
    <mergeCell ref="R5:S5"/>
    <mergeCell ref="T5:U5"/>
    <mergeCell ref="B4:C4"/>
    <mergeCell ref="D4:E4"/>
    <mergeCell ref="G4:L4"/>
    <mergeCell ref="M4:N4"/>
    <mergeCell ref="P4:Q4"/>
    <mergeCell ref="R4:S4"/>
    <mergeCell ref="T6:U6"/>
    <mergeCell ref="B7:C7"/>
    <mergeCell ref="D7:E7"/>
    <mergeCell ref="G7:L7"/>
    <mergeCell ref="M7:N7"/>
    <mergeCell ref="P7:Q7"/>
    <mergeCell ref="R7:S7"/>
    <mergeCell ref="T7:U7"/>
    <mergeCell ref="B6:C6"/>
    <mergeCell ref="D6:E6"/>
    <mergeCell ref="G6:L6"/>
    <mergeCell ref="M6:N6"/>
    <mergeCell ref="P6:Q6"/>
    <mergeCell ref="R6:S6"/>
  </mergeCells>
  <dataValidations count="1">
    <dataValidation type="list" allowBlank="1" showInputMessage="1" showErrorMessage="1" sqref="B11:B60" xr:uid="{751CD886-FD44-499C-8AD1-9517287B7ABF}">
      <formula1>$AB:$AB</formula1>
    </dataValidation>
  </dataValidations>
  <printOptions horizontalCentered="1"/>
  <pageMargins left="0.7" right="0.7" top="0.75" bottom="0.75" header="0.3" footer="0.3"/>
  <pageSetup scale="76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Labels</vt:lpstr>
      <vt:lpstr>Blank</vt:lpstr>
      <vt:lpstr>2011 (Whites)</vt:lpstr>
      <vt:lpstr>2012 (Whites)</vt:lpstr>
      <vt:lpstr>2013 (Whites)</vt:lpstr>
      <vt:lpstr>2015 (Blues)</vt:lpstr>
      <vt:lpstr>2016 (Pro)</vt:lpstr>
      <vt:lpstr>2017 (Pro)</vt:lpstr>
      <vt:lpstr>2018 (Am)</vt:lpstr>
      <vt:lpstr>2018 (Pro)</vt:lpstr>
      <vt:lpstr>'2011 (Whites)'!Print_Area</vt:lpstr>
      <vt:lpstr>'2012 (Whites)'!Print_Area</vt:lpstr>
      <vt:lpstr>'2013 (Whites)'!Print_Area</vt:lpstr>
      <vt:lpstr>'2015 (Blues)'!Print_Area</vt:lpstr>
      <vt:lpstr>'2016 (Pro)'!Print_Area</vt:lpstr>
      <vt:lpstr>'2017 (Pro)'!Print_Area</vt:lpstr>
      <vt:lpstr>'2018 (Am)'!Print_Area</vt:lpstr>
      <vt:lpstr>'2018 (Pro)'!Print_Area</vt:lpstr>
      <vt:lpstr>Blank!Print_Area</vt:lpstr>
      <vt:lpstr>Labels!Print_Area</vt:lpstr>
    </vt:vector>
  </TitlesOfParts>
  <Company>U.S.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jesse.young2</dc:creator>
  <cp:lastModifiedBy>Jeezy</cp:lastModifiedBy>
  <cp:lastPrinted>2013-06-04T16:11:27Z</cp:lastPrinted>
  <dcterms:created xsi:type="dcterms:W3CDTF">2011-04-14T16:17:18Z</dcterms:created>
  <dcterms:modified xsi:type="dcterms:W3CDTF">2018-07-17T04:17:41Z</dcterms:modified>
</cp:coreProperties>
</file>